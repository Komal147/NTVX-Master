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Prasanna\Nootus\Repos\NTVX\NTVXApi\Excel\Templates\"/>
    </mc:Choice>
  </mc:AlternateContent>
  <bookViews>
    <workbookView xWindow="0" yWindow="0" windowWidth="20415" windowHeight="7545" tabRatio="807"/>
  </bookViews>
  <sheets>
    <sheet name="25-Yr Val 12" sheetId="11" r:id="rId1"/>
    <sheet name="FinRatios 10" sheetId="10" r:id="rId2"/>
  </sheets>
  <functionGroups builtInGroupCount="18"/>
  <calcPr calcId="162913" calcMode="manual"/>
</workbook>
</file>

<file path=xl/calcChain.xml><?xml version="1.0" encoding="utf-8"?>
<calcChain xmlns="http://schemas.openxmlformats.org/spreadsheetml/2006/main">
  <c r="G8" i="11" l="1"/>
  <c r="F8" i="11"/>
</calcChain>
</file>

<file path=xl/sharedStrings.xml><?xml version="1.0" encoding="utf-8"?>
<sst xmlns="http://schemas.openxmlformats.org/spreadsheetml/2006/main" count="374" uniqueCount="154">
  <si>
    <t>EBITDA</t>
  </si>
  <si>
    <t>Year4</t>
  </si>
  <si>
    <t>Year5</t>
  </si>
  <si>
    <t>n/a</t>
  </si>
  <si>
    <t>Earn-Out</t>
  </si>
  <si>
    <t>Company:</t>
  </si>
  <si>
    <t>Prepared for:</t>
  </si>
  <si>
    <t>Prepared by:</t>
  </si>
  <si>
    <t>Preparer:</t>
  </si>
  <si>
    <t/>
  </si>
  <si>
    <t>Year1</t>
  </si>
  <si>
    <t>Year2</t>
  </si>
  <si>
    <t>Year3</t>
  </si>
  <si>
    <t>BVX®</t>
  </si>
  <si>
    <t>Revolver</t>
  </si>
  <si>
    <t>Non-Compete</t>
  </si>
  <si>
    <t>Year0</t>
  </si>
  <si>
    <t>Net Income</t>
  </si>
  <si>
    <t>Term Loan</t>
  </si>
  <si>
    <t>Interest</t>
  </si>
  <si>
    <t>Financial Ratios</t>
  </si>
  <si>
    <t>Definitions</t>
  </si>
  <si>
    <t>Cap Ex</t>
  </si>
  <si>
    <t>Depr. &amp;</t>
  </si>
  <si>
    <t>Working Cap</t>
  </si>
  <si>
    <t>S Tax Dist</t>
  </si>
  <si>
    <t>Numerator</t>
  </si>
  <si>
    <t>(deduct)</t>
  </si>
  <si>
    <t>Amortization</t>
  </si>
  <si>
    <t>on Cash</t>
  </si>
  <si>
    <t>N1</t>
  </si>
  <si>
    <t>x</t>
  </si>
  <si>
    <t>N2</t>
  </si>
  <si>
    <t>Gross FCF</t>
  </si>
  <si>
    <t>N3</t>
  </si>
  <si>
    <t>Enter N3 Label</t>
  </si>
  <si>
    <t>N4</t>
  </si>
  <si>
    <t>Enter N4 Label</t>
  </si>
  <si>
    <t>N5</t>
  </si>
  <si>
    <t>Enter N5 Label</t>
  </si>
  <si>
    <t>N6</t>
  </si>
  <si>
    <t>Enter N6 Label</t>
  </si>
  <si>
    <t>Gap (Seller)</t>
  </si>
  <si>
    <t>Personal</t>
  </si>
  <si>
    <t>Over Adv.</t>
  </si>
  <si>
    <t>Mezzanine</t>
  </si>
  <si>
    <t>New Cap Ex</t>
  </si>
  <si>
    <t>Denominator</t>
  </si>
  <si>
    <t>Note</t>
  </si>
  <si>
    <t>Balloon Note</t>
  </si>
  <si>
    <t>Consulting</t>
  </si>
  <si>
    <t>Goodwill (PG)</t>
  </si>
  <si>
    <t>Loan</t>
  </si>
  <si>
    <t>Financing</t>
  </si>
  <si>
    <t>D1</t>
  </si>
  <si>
    <t xml:space="preserve">Sr. Debt </t>
  </si>
  <si>
    <t>D2</t>
  </si>
  <si>
    <t xml:space="preserve">Total Debt </t>
  </si>
  <si>
    <t>D3</t>
  </si>
  <si>
    <t>All Obligations</t>
  </si>
  <si>
    <t>D4</t>
  </si>
  <si>
    <t>Enter D4 Label</t>
  </si>
  <si>
    <t>D5</t>
  </si>
  <si>
    <t>Enter D5 Label</t>
  </si>
  <si>
    <t>D6</t>
  </si>
  <si>
    <t>Enter D6 Label</t>
  </si>
  <si>
    <t>Define Ratios</t>
  </si>
  <si>
    <t>Ratio Label</t>
  </si>
  <si>
    <t xml:space="preserve">EBITDA to Sr. Debt </t>
  </si>
  <si>
    <t xml:space="preserve">Gross FCF to Total Debt </t>
  </si>
  <si>
    <t xml:space="preserve">EBITDA to Total Debt </t>
  </si>
  <si>
    <t>Select Numerator &amp; Denominator</t>
  </si>
  <si>
    <t>Interest Coverage Ratios</t>
  </si>
  <si>
    <t>EBITDA to Sr. Debt  Interest</t>
  </si>
  <si>
    <t>Gross FCF to Total Debt  Interest</t>
  </si>
  <si>
    <t>**</t>
  </si>
  <si>
    <t xml:space="preserve">   No Ratio; Numerator is Principal, Denominator is Interest</t>
  </si>
  <si>
    <t>EBITDA to Total Debt  Interest</t>
  </si>
  <si>
    <t>Debt Service Coverage Ratios</t>
  </si>
  <si>
    <t>P or P+I</t>
  </si>
  <si>
    <t>EBITDA to Sr. Debt Service</t>
  </si>
  <si>
    <t>P+I</t>
  </si>
  <si>
    <t>Gross FCF to Total Debt Service</t>
  </si>
  <si>
    <t>P</t>
  </si>
  <si>
    <t>EBITDA to Total Debt Service</t>
  </si>
  <si>
    <t>Other Ratios</t>
  </si>
  <si>
    <t>Explanation</t>
  </si>
  <si>
    <t>Current Ratio = CA/CL</t>
  </si>
  <si>
    <t xml:space="preserve">   CA = Cash + A/R + Inventory + Other Misc. Assets</t>
  </si>
  <si>
    <t>Quick Ratio =(CA-Inventory)/CL</t>
  </si>
  <si>
    <t xml:space="preserve">   CL= A/P + Other Misc. Liab + Revolver</t>
  </si>
  <si>
    <t>All Obligations / Equity</t>
  </si>
  <si>
    <t xml:space="preserve">   Sr. Debt = Revolver + Term + Over Adv.+ CapX</t>
  </si>
  <si>
    <t>Sr. Debt / EBITDA</t>
  </si>
  <si>
    <t xml:space="preserve">   Total Debt = Sr. Debt + Gap (Seller) + Mezz</t>
  </si>
  <si>
    <t>(Sr. Debt+Mezz) / EBITDA</t>
  </si>
  <si>
    <t xml:space="preserve">   All Obligations = Total Debt + Non Comp + Conslt.+ PG</t>
  </si>
  <si>
    <t>Total Debt / EBITDA</t>
  </si>
  <si>
    <t>PG = Personal Goodwill</t>
  </si>
  <si>
    <t>All Obligations / EBITDA</t>
  </si>
  <si>
    <t>Gross profit margin</t>
  </si>
  <si>
    <t>Net cash flow</t>
  </si>
  <si>
    <t>Days in accounts receivables</t>
  </si>
  <si>
    <t>Interest cover</t>
  </si>
  <si>
    <t>Liquidity ratio</t>
  </si>
  <si>
    <t>Contribution margin</t>
  </si>
  <si>
    <t>Berry ratio</t>
  </si>
  <si>
    <t>Economic value added (EVA)</t>
  </si>
  <si>
    <t>Earnings before interest and taxes (EBIT)</t>
  </si>
  <si>
    <t xml:space="preserve">4. Price-Earnings (P/E) Ratio </t>
  </si>
  <si>
    <t xml:space="preserve">2. Quick Ratio </t>
  </si>
  <si>
    <t xml:space="preserve">1. Working Capital Ratio  </t>
  </si>
  <si>
    <t>3. Except for the above Input Variables, Deal 25 uses all other inputs from the Overview screen. They are printed on the Valuation Parameters page and are an integral part of this valuation.</t>
  </si>
  <si>
    <t xml:space="preserve">2. Deal 25 assumes that the business is refinanced at the highest value (BVX-Best Value) every 5 years. Net proceeds of refinancing are distributed to the owner. This refinancing assumption maximizes present value (PV) of future cash flows i.e. Enterprise Value. This Enterprise Value is the same as if the business is sold, or deemed to have been sold, at BVX-Best Value, every 5 years. </t>
  </si>
  <si>
    <t>1. Deal 25 assumes perpetual business performance starting Year21. Because, Price Multiples are constant in perpetuity, Exit Muliple in Year25 is equal to Purchase Multiple (PM) at the beginning of Year21. This allows BVX to first value Years 21-25, then Years 16-20, then Years 11-15, and so forth till Year 0.</t>
  </si>
  <si>
    <t>PM</t>
  </si>
  <si>
    <t>Exit Multiple (EM)</t>
  </si>
  <si>
    <t>6614800</t>
  </si>
  <si>
    <t>Purchase Multiple (PM)</t>
  </si>
  <si>
    <t>Enterprise Value</t>
  </si>
  <si>
    <t>EBITDA Multiple</t>
  </si>
  <si>
    <t>Sales</t>
  </si>
  <si>
    <t>Year25</t>
  </si>
  <si>
    <t>Year20</t>
  </si>
  <si>
    <t>Year15</t>
  </si>
  <si>
    <t>Year10</t>
  </si>
  <si>
    <t>Year 0</t>
  </si>
  <si>
    <t>25 Year Analysis</t>
  </si>
  <si>
    <t xml:space="preserve">    Values of all other variables is assumed to remain the same as those on the Valuation Parameters page.</t>
  </si>
  <si>
    <t>Other Variables</t>
  </si>
  <si>
    <t>A/P (%of Sales)</t>
  </si>
  <si>
    <t>Inventory Turns (Sales/Inv)</t>
  </si>
  <si>
    <t>A/R # of days</t>
  </si>
  <si>
    <t>A</t>
  </si>
  <si>
    <t>-</t>
  </si>
  <si>
    <t>Asset or Stock Purchase</t>
  </si>
  <si>
    <t>S</t>
  </si>
  <si>
    <t>Buyer's Corp. Structure (S or C)</t>
  </si>
  <si>
    <t>Gap (Seller) Note: Interest Rate</t>
  </si>
  <si>
    <t>Gap (Seller) Note: Amort. (yrs)</t>
  </si>
  <si>
    <t>Term Loan: Interest Rate</t>
  </si>
  <si>
    <t>Term Loan: Amortization (yrs)</t>
  </si>
  <si>
    <t>Cap. Exp. (% of EBITDA) per yr</t>
  </si>
  <si>
    <t>Expected Pre-Tax ROE (%)</t>
  </si>
  <si>
    <t>EBITDA % Margin per yr</t>
  </si>
  <si>
    <t>Sales Growth per yr</t>
  </si>
  <si>
    <t>Input Variables</t>
  </si>
  <si>
    <t>Y 21- 25+</t>
  </si>
  <si>
    <t>Y 16- 20</t>
  </si>
  <si>
    <t>Y 11- 15</t>
  </si>
  <si>
    <t xml:space="preserve"> Y 6- 10</t>
  </si>
  <si>
    <t>Valuation Analysis (Long-term)</t>
  </si>
  <si>
    <t>Input Cell</t>
  </si>
  <si>
    <t>Legend: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</si>
</sst>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0.0"/>
    <numFmt numFmtId="166" formatCode="0.0%"/>
    <numFmt numFmtId="167" formatCode="m/d/yy\ h:mm\ AM/PM"/>
  </numFmts>
  <fonts count="37"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55"/>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23"/>
      <name val="Calibri"/>
      <family val="2"/>
    </font>
    <font>
      <b/>
      <sz val="18"/>
      <color indexed="62"/>
      <name val="Cambria"/>
      <family val="2"/>
    </font>
    <font>
      <b/>
      <sz val="11"/>
      <color indexed="8"/>
      <name val="Calibri"/>
      <family val="2"/>
    </font>
    <font>
      <sz val="11"/>
      <color indexed="10"/>
      <name val="Calibri"/>
      <family val="2"/>
    </font>
    <font>
      <sz val="8"/>
      <name val="Arial"/>
      <family val="2"/>
    </font>
    <font>
      <b/>
      <u/>
      <sz val="14"/>
      <name val="Arial"/>
      <family val="2"/>
    </font>
    <font>
      <b/>
      <u/>
      <sz val="10"/>
      <name val="Arial"/>
      <family val="2"/>
    </font>
    <font>
      <b/>
      <sz val="10"/>
      <color indexed="9"/>
      <name val="Arial"/>
      <family val="2"/>
    </font>
    <font>
      <sz val="10"/>
      <color indexed="9"/>
      <name val="Arial"/>
      <family val="2"/>
    </font>
    <font>
      <b/>
      <sz val="10"/>
      <name val="Arial"/>
      <family val="2"/>
    </font>
    <font>
      <b/>
      <sz val="8"/>
      <name val="Arial"/>
      <family val="2"/>
    </font>
    <font>
      <sz val="7"/>
      <name val="Arial"/>
      <family val="2"/>
    </font>
    <font>
      <u/>
      <sz val="8"/>
      <name val="Arial"/>
      <family val="2"/>
    </font>
    <font>
      <sz val="9"/>
      <name val="Arial"/>
      <family val="2"/>
    </font>
    <font>
      <sz val="6"/>
      <name val="Arial"/>
      <family val="2"/>
    </font>
    <font>
      <b/>
      <u/>
      <sz val="9"/>
      <name val="Arial"/>
      <family val="2"/>
    </font>
    <font>
      <b/>
      <u/>
      <sz val="10"/>
      <color indexed="9"/>
      <name val="Arial"/>
      <family val="2"/>
    </font>
    <font>
      <strike/>
      <sz val="10"/>
      <name val="Arial"/>
      <family val="2"/>
    </font>
    <font>
      <b/>
      <u/>
      <sz val="8"/>
      <name val="Arial"/>
      <family val="2"/>
    </font>
    <font>
      <b/>
      <sz val="12"/>
      <name val="Arial"/>
      <family val="2"/>
    </font>
    <font>
      <b/>
      <u/>
      <sz val="12"/>
      <name val="Arial"/>
      <family val="2"/>
    </font>
  </fonts>
  <fills count="22">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indexed="41"/>
        <bgColor indexed="64"/>
      </patternFill>
    </fill>
    <fill>
      <patternFill patternType="solid">
        <fgColor indexed="12"/>
        <bgColor indexed="64"/>
      </patternFill>
    </fill>
    <fill>
      <patternFill patternType="solid">
        <fgColor indexed="22"/>
        <bgColor indexed="64"/>
      </patternFill>
    </fill>
    <fill>
      <patternFill patternType="solid">
        <fgColor rgb="FFFFFF00"/>
        <bgColor indexed="64"/>
      </patternFill>
    </fill>
  </fills>
  <borders count="23">
    <border>
      <left/>
      <right/>
      <top/>
      <bottom/>
      <diagonal/>
    </border>
    <border>
      <left style="thin">
        <color indexed="55"/>
      </left>
      <right style="thin">
        <color indexed="55"/>
      </right>
      <top style="thin">
        <color indexed="55"/>
      </top>
      <bottom style="thin">
        <color indexed="55"/>
      </bottom>
      <diagonal/>
    </border>
    <border>
      <left style="double">
        <color indexed="23"/>
      </left>
      <right style="double">
        <color indexed="23"/>
      </right>
      <top style="double">
        <color indexed="23"/>
      </top>
      <bottom style="double">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dashed">
        <color indexed="64"/>
      </bottom>
      <diagonal/>
    </border>
  </borders>
  <cellStyleXfs count="4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6"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2" fillId="10"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6" borderId="0" applyNumberFormat="0" applyBorder="0" applyAlignment="0" applyProtection="0"/>
    <xf numFmtId="0" fontId="2" fillId="10" borderId="0" applyNumberFormat="0" applyBorder="0" applyAlignment="0" applyProtection="0"/>
    <xf numFmtId="0" fontId="2" fillId="3"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0" borderId="0" applyNumberFormat="0" applyBorder="0" applyAlignment="0" applyProtection="0"/>
    <xf numFmtId="0" fontId="2" fillId="14" borderId="0" applyNumberFormat="0" applyBorder="0" applyAlignment="0" applyProtection="0"/>
    <xf numFmtId="0" fontId="3" fillId="15" borderId="0" applyNumberFormat="0" applyBorder="0" applyAlignment="0" applyProtection="0"/>
    <xf numFmtId="0" fontId="4" fillId="2" borderId="1" applyNumberFormat="0" applyAlignment="0" applyProtection="0"/>
    <xf numFmtId="0" fontId="5" fillId="16" borderId="2" applyNumberFormat="0" applyAlignment="0" applyProtection="0"/>
    <xf numFmtId="0" fontId="6" fillId="0" borderId="0" applyNumberFormat="0" applyFill="0" applyBorder="0" applyAlignment="0" applyProtection="0"/>
    <xf numFmtId="0" fontId="7" fillId="17"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11" fillId="0" borderId="0" applyNumberFormat="0" applyFill="0" applyBorder="0" applyAlignment="0" applyProtection="0">
      <alignment vertical="top"/>
      <protection locked="0"/>
    </xf>
    <xf numFmtId="0" fontId="12" fillId="3" borderId="1" applyNumberFormat="0" applyAlignment="0" applyProtection="0"/>
    <xf numFmtId="0" fontId="13" fillId="0" borderId="6" applyNumberFormat="0" applyFill="0" applyAlignment="0" applyProtection="0"/>
    <xf numFmtId="0" fontId="14" fillId="8" borderId="0" applyNumberFormat="0" applyBorder="0" applyAlignment="0" applyProtection="0"/>
    <xf numFmtId="0" fontId="15" fillId="4" borderId="7" applyNumberFormat="0" applyFont="0" applyAlignment="0" applyProtection="0"/>
    <xf numFmtId="0" fontId="16" fillId="2"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5" fillId="0" borderId="0"/>
    <xf numFmtId="9" fontId="15" fillId="0" borderId="0" applyFont="0" applyFill="0" applyBorder="0" applyAlignment="0" applyProtection="0"/>
  </cellStyleXfs>
  <cellXfs count="136">
    <xf numFmtId="0" fontId="0" fillId="0" borderId="0" xfId="0"/>
    <xf numFmtId="0" fontId="15" fillId="0" borderId="0" xfId="0" applyFont="1"/>
    <xf numFmtId="0" fontId="15" fillId="18" borderId="0" xfId="0" applyFont="1" applyFill="1" applyBorder="1"/>
    <xf numFmtId="0" fontId="20" fillId="18" borderId="0" xfId="0" applyFont="1" applyFill="1" applyBorder="1" applyAlignment="1">
      <alignment horizontal="right"/>
    </xf>
    <xf numFmtId="0" fontId="15" fillId="18" borderId="10" xfId="0" applyFont="1" applyFill="1" applyBorder="1"/>
    <xf numFmtId="0" fontId="20" fillId="18" borderId="0" xfId="0" applyFont="1" applyFill="1" applyAlignment="1">
      <alignment horizontal="right"/>
    </xf>
    <xf numFmtId="0" fontId="20" fillId="18" borderId="0" xfId="0" applyFont="1" applyFill="1"/>
    <xf numFmtId="0" fontId="32" fillId="19" borderId="0" xfId="0" applyFont="1" applyFill="1" applyBorder="1" applyAlignment="1">
      <alignment horizontal="right"/>
    </xf>
    <xf numFmtId="0" fontId="32" fillId="19" borderId="0" xfId="0" applyFont="1" applyFill="1"/>
    <xf numFmtId="0" fontId="20" fillId="18" borderId="11" xfId="0" applyFont="1" applyFill="1" applyBorder="1"/>
    <xf numFmtId="0" fontId="15" fillId="18" borderId="0" xfId="0" applyFont="1" applyFill="1"/>
    <xf numFmtId="0" fontId="32" fillId="19" borderId="0" xfId="0" applyFont="1" applyFill="1" applyBorder="1" applyAlignment="1">
      <alignment horizontal="center"/>
    </xf>
    <xf numFmtId="0" fontId="24" fillId="19" borderId="0" xfId="0" applyFont="1" applyFill="1"/>
    <xf numFmtId="165" fontId="15" fillId="18" borderId="0" xfId="0" applyNumberFormat="1" applyFont="1" applyFill="1"/>
    <xf numFmtId="0" fontId="15" fillId="18" borderId="0" xfId="0" applyFont="1" applyFill="1" applyAlignment="1">
      <alignment horizontal="center"/>
    </xf>
    <xf numFmtId="166" fontId="15" fillId="18" borderId="0" xfId="0" applyNumberFormat="1" applyFont="1" applyFill="1" applyAlignment="1">
      <alignment horizontal="right"/>
    </xf>
    <xf numFmtId="0" fontId="33" fillId="18" borderId="0" xfId="0" applyFont="1" applyFill="1"/>
    <xf numFmtId="1" fontId="30" fillId="18" borderId="0" xfId="0" applyNumberFormat="1" applyFont="1" applyFill="1" applyAlignment="1">
      <alignment horizontal="right"/>
    </xf>
    <xf numFmtId="0" fontId="15" fillId="18" borderId="0" xfId="0" applyFont="1" applyFill="1" applyAlignment="1">
      <alignment horizontal="right"/>
    </xf>
    <xf numFmtId="0" fontId="11" fillId="18" borderId="0" xfId="34" applyFill="1" applyAlignment="1" applyProtection="1"/>
    <xf numFmtId="0" fontId="11" fillId="18" borderId="0" xfId="34" applyFont="1" applyFill="1" applyAlignment="1" applyProtection="1"/>
    <xf numFmtId="165" fontId="15" fillId="18" borderId="0" xfId="0" applyNumberFormat="1" applyFont="1" applyFill="1" applyProtection="1">
      <protection hidden="1"/>
    </xf>
    <xf numFmtId="2" fontId="20" fillId="18" borderId="0" xfId="0" applyNumberFormat="1" applyFont="1" applyFill="1" applyAlignment="1" applyProtection="1">
      <alignment horizontal="left"/>
      <protection hidden="1"/>
    </xf>
    <xf numFmtId="165" fontId="20" fillId="18" borderId="0" xfId="0" applyNumberFormat="1" applyFont="1" applyFill="1" applyAlignment="1">
      <alignment horizontal="center"/>
    </xf>
    <xf numFmtId="166" fontId="24" fillId="19" borderId="0" xfId="0" applyNumberFormat="1" applyFont="1" applyFill="1"/>
    <xf numFmtId="165" fontId="30" fillId="18" borderId="0" xfId="0" applyNumberFormat="1" applyFont="1" applyFill="1"/>
    <xf numFmtId="0" fontId="20" fillId="18" borderId="0" xfId="0" applyFont="1" applyFill="1" applyAlignment="1">
      <alignment horizontal="center"/>
    </xf>
    <xf numFmtId="0" fontId="28" fillId="18" borderId="0" xfId="0" applyFont="1" applyFill="1" applyAlignment="1">
      <alignment horizontal="center"/>
    </xf>
    <xf numFmtId="0" fontId="20" fillId="18" borderId="0" xfId="0" applyFont="1" applyFill="1" applyBorder="1" applyAlignment="1">
      <alignment horizontal="center"/>
    </xf>
    <xf numFmtId="0" fontId="27" fillId="18" borderId="0" xfId="0" applyFont="1" applyFill="1" applyAlignment="1">
      <alignment horizontal="right"/>
    </xf>
    <xf numFmtId="0" fontId="20" fillId="20" borderId="14" xfId="0" applyFont="1" applyFill="1" applyBorder="1" applyAlignment="1">
      <alignment horizontal="center"/>
    </xf>
    <xf numFmtId="0" fontId="25" fillId="18" borderId="0" xfId="0" applyFont="1" applyFill="1" applyBorder="1" applyAlignment="1">
      <alignment horizontal="center" vertical="top"/>
    </xf>
    <xf numFmtId="0" fontId="25" fillId="18" borderId="0" xfId="0" applyFont="1" applyFill="1" applyBorder="1" applyAlignment="1">
      <alignment horizontal="center" vertical="top" wrapText="1"/>
    </xf>
    <xf numFmtId="0" fontId="27" fillId="0" borderId="0" xfId="0" applyFont="1" applyFill="1" applyAlignment="1">
      <alignment horizontal="right"/>
    </xf>
    <xf numFmtId="0" fontId="20" fillId="0" borderId="14" xfId="0" applyFont="1" applyFill="1" applyBorder="1" applyAlignment="1">
      <alignment horizontal="center"/>
    </xf>
    <xf numFmtId="0" fontId="26" fillId="18" borderId="0" xfId="0" applyFont="1" applyFill="1" applyAlignment="1">
      <alignment horizontal="center"/>
    </xf>
    <xf numFmtId="0" fontId="27" fillId="18" borderId="0" xfId="0" applyFont="1" applyFill="1" applyBorder="1" applyAlignment="1">
      <alignment horizontal="right"/>
    </xf>
    <xf numFmtId="165" fontId="25" fillId="18" borderId="0" xfId="0" applyNumberFormat="1" applyFont="1" applyFill="1" applyBorder="1" applyAlignment="1">
      <alignment horizontal="center"/>
    </xf>
    <xf numFmtId="0" fontId="27" fillId="0" borderId="0" xfId="0" applyFont="1" applyFill="1" applyBorder="1" applyAlignment="1">
      <alignment horizontal="right"/>
    </xf>
    <xf numFmtId="165" fontId="26" fillId="18" borderId="0" xfId="0" applyNumberFormat="1" applyFont="1" applyFill="1" applyAlignment="1">
      <alignment horizontal="center"/>
    </xf>
    <xf numFmtId="0" fontId="26" fillId="18" borderId="0" xfId="0" applyFont="1" applyFill="1" applyAlignment="1">
      <alignment horizontal="left"/>
    </xf>
    <xf numFmtId="0" fontId="25" fillId="18" borderId="11" xfId="0" applyFont="1" applyFill="1" applyBorder="1" applyAlignment="1">
      <alignment horizontal="center" vertical="top"/>
    </xf>
    <xf numFmtId="166" fontId="20" fillId="18" borderId="0" xfId="0" applyNumberFormat="1" applyFont="1" applyFill="1" applyAlignment="1">
      <alignment horizontal="right"/>
    </xf>
    <xf numFmtId="2" fontId="20" fillId="18" borderId="0" xfId="0" applyNumberFormat="1" applyFont="1" applyFill="1" applyAlignment="1" applyProtection="1">
      <alignment horizontal="right"/>
      <protection hidden="1"/>
    </xf>
    <xf numFmtId="166" fontId="30" fillId="18" borderId="0" xfId="0" applyNumberFormat="1" applyFont="1" applyFill="1" applyAlignment="1">
      <alignment horizontal="left"/>
    </xf>
    <xf numFmtId="0" fontId="20" fillId="18" borderId="15" xfId="0" applyFont="1" applyFill="1" applyBorder="1"/>
    <xf numFmtId="0" fontId="28" fillId="18" borderId="16" xfId="0" applyFont="1" applyFill="1" applyBorder="1" applyAlignment="1">
      <alignment horizontal="center"/>
    </xf>
    <xf numFmtId="0" fontId="15" fillId="18" borderId="16" xfId="0" applyFont="1" applyFill="1" applyBorder="1"/>
    <xf numFmtId="0" fontId="15" fillId="18" borderId="17" xfId="0" applyFont="1" applyFill="1" applyBorder="1"/>
    <xf numFmtId="2" fontId="20" fillId="18" borderId="0" xfId="0" applyNumberFormat="1" applyFont="1" applyFill="1" applyProtection="1">
      <protection hidden="1"/>
    </xf>
    <xf numFmtId="166" fontId="15" fillId="18" borderId="10" xfId="0" applyNumberFormat="1" applyFont="1" applyFill="1" applyBorder="1" applyAlignment="1">
      <alignment horizontal="right"/>
    </xf>
    <xf numFmtId="0" fontId="15" fillId="18" borderId="18" xfId="0" applyFont="1" applyFill="1" applyBorder="1"/>
    <xf numFmtId="166" fontId="27" fillId="18" borderId="19" xfId="0" applyNumberFormat="1" applyFont="1" applyFill="1" applyBorder="1" applyAlignment="1">
      <alignment horizontal="left"/>
    </xf>
    <xf numFmtId="166" fontId="15" fillId="18" borderId="19" xfId="0" applyNumberFormat="1" applyFont="1" applyFill="1" applyBorder="1" applyAlignment="1">
      <alignment horizontal="right"/>
    </xf>
    <xf numFmtId="166" fontId="15" fillId="18" borderId="20" xfId="0" applyNumberFormat="1" applyFont="1" applyFill="1" applyBorder="1" applyAlignment="1">
      <alignment horizontal="right"/>
    </xf>
    <xf numFmtId="0" fontId="15" fillId="0" borderId="0" xfId="43"/>
    <xf numFmtId="0" fontId="15" fillId="18" borderId="0" xfId="44" applyNumberFormat="1" applyFont="1" applyFill="1" applyBorder="1" applyAlignment="1">
      <alignment horizontal="center"/>
    </xf>
    <xf numFmtId="0" fontId="15" fillId="18" borderId="0" xfId="43" applyFill="1"/>
    <xf numFmtId="1" fontId="15" fillId="18" borderId="0" xfId="43" applyNumberFormat="1" applyFill="1" applyAlignment="1">
      <alignment horizontal="right"/>
    </xf>
    <xf numFmtId="1" fontId="15" fillId="18" borderId="0" xfId="43" applyNumberFormat="1" applyFill="1"/>
    <xf numFmtId="165" fontId="15" fillId="18" borderId="0" xfId="43" applyNumberFormat="1" applyFill="1" applyAlignment="1">
      <alignment horizontal="right"/>
    </xf>
    <xf numFmtId="165" fontId="15" fillId="18" borderId="0" xfId="43" applyNumberFormat="1" applyFill="1" applyAlignment="1">
      <alignment horizontal="left"/>
    </xf>
    <xf numFmtId="0" fontId="15" fillId="18" borderId="0" xfId="43" applyFill="1" applyAlignment="1">
      <alignment horizontal="right"/>
    </xf>
    <xf numFmtId="165" fontId="20" fillId="18" borderId="0" xfId="43" applyNumberFormat="1" applyFont="1" applyFill="1" applyAlignment="1">
      <alignment horizontal="left"/>
    </xf>
    <xf numFmtId="0" fontId="15" fillId="18" borderId="0" xfId="43" applyFill="1" applyAlignment="1">
      <alignment horizontal="left"/>
    </xf>
    <xf numFmtId="165" fontId="20" fillId="18" borderId="0" xfId="43" applyNumberFormat="1" applyFont="1" applyFill="1" applyAlignment="1">
      <alignment horizontal="right"/>
    </xf>
    <xf numFmtId="2" fontId="20" fillId="18" borderId="0" xfId="44" applyNumberFormat="1" applyFont="1" applyFill="1" applyBorder="1" applyAlignment="1">
      <alignment horizontal="right"/>
    </xf>
    <xf numFmtId="165" fontId="30" fillId="18" borderId="0" xfId="43" applyNumberFormat="1" applyFont="1" applyFill="1" applyAlignment="1">
      <alignment horizontal="left"/>
    </xf>
    <xf numFmtId="1" fontId="30" fillId="18" borderId="0" xfId="43" applyNumberFormat="1" applyFont="1" applyFill="1" applyAlignment="1">
      <alignment horizontal="right"/>
    </xf>
    <xf numFmtId="166" fontId="20" fillId="18" borderId="0" xfId="44" applyNumberFormat="1" applyFont="1" applyFill="1" applyBorder="1" applyAlignment="1">
      <alignment horizontal="right"/>
    </xf>
    <xf numFmtId="1" fontId="20" fillId="18" borderId="0" xfId="43" applyNumberFormat="1" applyFont="1" applyFill="1" applyAlignment="1">
      <alignment horizontal="right"/>
    </xf>
    <xf numFmtId="164" fontId="20" fillId="18" borderId="0" xfId="43" applyNumberFormat="1" applyFont="1" applyFill="1" applyAlignment="1">
      <alignment horizontal="right"/>
    </xf>
    <xf numFmtId="0" fontId="15" fillId="18" borderId="11" xfId="43" applyFill="1" applyBorder="1"/>
    <xf numFmtId="2" fontId="26" fillId="0" borderId="20" xfId="43" applyNumberFormat="1" applyFont="1" applyBorder="1" applyAlignment="1">
      <alignment horizontal="right"/>
    </xf>
    <xf numFmtId="0" fontId="26" fillId="0" borderId="19" xfId="43" applyFont="1" applyBorder="1" applyAlignment="1">
      <alignment horizontal="right"/>
    </xf>
    <xf numFmtId="0" fontId="15" fillId="0" borderId="18" xfId="43" applyBorder="1" applyAlignment="1">
      <alignment horizontal="right"/>
    </xf>
    <xf numFmtId="0" fontId="35" fillId="18" borderId="0" xfId="43" applyFont="1" applyFill="1" applyAlignment="1">
      <alignment horizontal="right"/>
    </xf>
    <xf numFmtId="164" fontId="26" fillId="0" borderId="10" xfId="43" applyNumberFormat="1" applyFont="1" applyBorder="1" applyAlignment="1">
      <alignment horizontal="right"/>
    </xf>
    <xf numFmtId="0" fontId="25" fillId="0" borderId="0" xfId="43" applyFont="1" applyAlignment="1">
      <alignment horizontal="right"/>
    </xf>
    <xf numFmtId="0" fontId="15" fillId="0" borderId="11" xfId="43" applyBorder="1" applyAlignment="1">
      <alignment horizontal="right"/>
    </xf>
    <xf numFmtId="0" fontId="15" fillId="18" borderId="11" xfId="43" quotePrefix="1" applyFill="1" applyBorder="1"/>
    <xf numFmtId="0" fontId="25" fillId="0" borderId="11" xfId="43" applyFont="1" applyBorder="1" applyAlignment="1">
      <alignment horizontal="right"/>
    </xf>
    <xf numFmtId="0" fontId="35" fillId="0" borderId="11" xfId="43" applyFont="1" applyBorder="1" applyAlignment="1">
      <alignment horizontal="left"/>
    </xf>
    <xf numFmtId="9" fontId="28" fillId="18" borderId="0" xfId="44" applyFont="1" applyFill="1" applyBorder="1" applyAlignment="1">
      <alignment horizontal="right"/>
    </xf>
    <xf numFmtId="0" fontId="28" fillId="18" borderId="0" xfId="43" applyFont="1" applyFill="1" applyAlignment="1">
      <alignment horizontal="right"/>
    </xf>
    <xf numFmtId="0" fontId="34" fillId="0" borderId="17" xfId="43" applyFont="1" applyBorder="1" applyAlignment="1">
      <alignment horizontal="right"/>
    </xf>
    <xf numFmtId="0" fontId="22" fillId="0" borderId="15" xfId="43" applyFont="1" applyBorder="1" applyAlignment="1">
      <alignment horizontal="right"/>
    </xf>
    <xf numFmtId="0" fontId="36" fillId="0" borderId="15" xfId="43" applyFont="1" applyBorder="1" applyAlignment="1">
      <alignment horizontal="left"/>
    </xf>
    <xf numFmtId="165" fontId="15" fillId="18" borderId="0" xfId="43" applyNumberFormat="1" applyFill="1"/>
    <xf numFmtId="0" fontId="15" fillId="18" borderId="19" xfId="43" applyFill="1" applyBorder="1" applyAlignment="1">
      <alignment horizontal="center"/>
    </xf>
    <xf numFmtId="166" fontId="15" fillId="18" borderId="0" xfId="44" quotePrefix="1" applyNumberFormat="1" applyFont="1" applyFill="1" applyBorder="1" applyAlignment="1">
      <alignment horizontal="center"/>
    </xf>
    <xf numFmtId="0" fontId="15" fillId="18" borderId="0" xfId="44" applyNumberFormat="1" applyFont="1" applyFill="1" applyBorder="1" applyAlignment="1">
      <alignment horizontal="left"/>
    </xf>
    <xf numFmtId="0" fontId="20" fillId="18" borderId="0" xfId="44" applyNumberFormat="1" applyFont="1" applyFill="1" applyBorder="1" applyAlignment="1">
      <alignment horizontal="left"/>
    </xf>
    <xf numFmtId="166" fontId="20" fillId="18" borderId="0" xfId="44" applyNumberFormat="1" applyFont="1" applyFill="1" applyBorder="1" applyAlignment="1">
      <alignment horizontal="center"/>
    </xf>
    <xf numFmtId="166" fontId="20" fillId="18" borderId="0" xfId="44" quotePrefix="1" applyNumberFormat="1" applyFont="1" applyFill="1" applyBorder="1" applyAlignment="1">
      <alignment horizontal="center"/>
    </xf>
    <xf numFmtId="166" fontId="20" fillId="18" borderId="0" xfId="44" applyNumberFormat="1" applyFont="1" applyFill="1" applyAlignment="1">
      <alignment horizontal="center"/>
    </xf>
    <xf numFmtId="166" fontId="20" fillId="21" borderId="14" xfId="44" applyNumberFormat="1" applyFont="1" applyFill="1" applyBorder="1" applyAlignment="1">
      <alignment horizontal="center"/>
    </xf>
    <xf numFmtId="166" fontId="20" fillId="21" borderId="14" xfId="44" quotePrefix="1" applyNumberFormat="1" applyFont="1" applyFill="1" applyBorder="1" applyAlignment="1">
      <alignment horizontal="center"/>
    </xf>
    <xf numFmtId="165" fontId="20" fillId="18" borderId="22" xfId="43" applyNumberFormat="1" applyFont="1" applyFill="1" applyBorder="1" applyAlignment="1">
      <alignment horizontal="right"/>
    </xf>
    <xf numFmtId="0" fontId="15" fillId="18" borderId="22" xfId="43" applyFill="1" applyBorder="1" applyAlignment="1">
      <alignment horizontal="right"/>
    </xf>
    <xf numFmtId="165" fontId="20" fillId="21" borderId="14" xfId="44" applyNumberFormat="1" applyFont="1" applyFill="1" applyBorder="1" applyAlignment="1">
      <alignment horizontal="center"/>
    </xf>
    <xf numFmtId="165" fontId="20" fillId="21" borderId="14" xfId="44" quotePrefix="1" applyNumberFormat="1" applyFont="1" applyFill="1" applyBorder="1" applyAlignment="1">
      <alignment horizontal="center"/>
    </xf>
    <xf numFmtId="0" fontId="20" fillId="21" borderId="14" xfId="44" applyNumberFormat="1" applyFont="1" applyFill="1" applyBorder="1" applyAlignment="1">
      <alignment horizontal="center"/>
    </xf>
    <xf numFmtId="0" fontId="20" fillId="18" borderId="22" xfId="43" applyFont="1" applyFill="1" applyBorder="1" applyAlignment="1">
      <alignment horizontal="center"/>
    </xf>
    <xf numFmtId="0" fontId="20" fillId="18" borderId="0" xfId="43" applyFont="1" applyFill="1" applyAlignment="1">
      <alignment horizontal="center"/>
    </xf>
    <xf numFmtId="1" fontId="20" fillId="21" borderId="14" xfId="44" applyNumberFormat="1" applyFont="1" applyFill="1" applyBorder="1" applyAlignment="1">
      <alignment horizontal="center"/>
    </xf>
    <xf numFmtId="1" fontId="20" fillId="21" borderId="14" xfId="44" quotePrefix="1" applyNumberFormat="1" applyFont="1" applyFill="1" applyBorder="1" applyAlignment="1">
      <alignment horizontal="center"/>
    </xf>
    <xf numFmtId="165" fontId="22" fillId="18" borderId="0" xfId="43" applyNumberFormat="1" applyFont="1" applyFill="1" applyAlignment="1">
      <alignment horizontal="right"/>
    </xf>
    <xf numFmtId="165" fontId="15" fillId="19" borderId="0" xfId="43" applyNumberFormat="1" applyFill="1"/>
    <xf numFmtId="0" fontId="32" fillId="19" borderId="0" xfId="43" quotePrefix="1" applyFont="1" applyFill="1" applyAlignment="1">
      <alignment horizontal="center"/>
    </xf>
    <xf numFmtId="16" fontId="32" fillId="19" borderId="0" xfId="43" quotePrefix="1" applyNumberFormat="1" applyFont="1" applyFill="1" applyAlignment="1">
      <alignment horizontal="center"/>
    </xf>
    <xf numFmtId="0" fontId="23" fillId="19" borderId="0" xfId="43" applyFont="1" applyFill="1" applyAlignment="1">
      <alignment horizontal="center"/>
    </xf>
    <xf numFmtId="0" fontId="15" fillId="19" borderId="0" xfId="43" applyFill="1"/>
    <xf numFmtId="0" fontId="20" fillId="0" borderId="0" xfId="43" applyFont="1" applyAlignment="1">
      <alignment horizontal="right"/>
    </xf>
    <xf numFmtId="0" fontId="15" fillId="0" borderId="19" xfId="43" applyBorder="1"/>
    <xf numFmtId="0" fontId="31" fillId="0" borderId="19" xfId="43" applyFont="1" applyBorder="1"/>
    <xf numFmtId="0" fontId="29" fillId="0" borderId="0" xfId="43" applyFont="1"/>
    <xf numFmtId="0" fontId="21" fillId="0" borderId="0" xfId="43" applyFont="1"/>
    <xf numFmtId="0" fontId="15" fillId="0" borderId="0" xfId="43" applyAlignment="1">
      <alignment horizontal="right"/>
    </xf>
    <xf numFmtId="166" fontId="20" fillId="21" borderId="14" xfId="44" applyNumberFormat="1" applyFont="1" applyFill="1" applyBorder="1" applyAlignment="1">
      <alignment horizontal="center" vertical="center"/>
    </xf>
    <xf numFmtId="0" fontId="20" fillId="0" borderId="0" xfId="43" applyFont="1" applyAlignment="1">
      <alignment horizontal="right" vertical="top"/>
    </xf>
    <xf numFmtId="167" fontId="20" fillId="0" borderId="0" xfId="43" applyNumberFormat="1" applyFont="1" applyAlignment="1">
      <alignment horizontal="right" vertical="center"/>
    </xf>
    <xf numFmtId="165" fontId="20" fillId="18" borderId="0" xfId="43" applyNumberFormat="1" applyFont="1" applyFill="1" applyAlignment="1">
      <alignment horizontal="left" wrapText="1"/>
    </xf>
    <xf numFmtId="0" fontId="20" fillId="18" borderId="0" xfId="43" applyFont="1" applyFill="1" applyAlignment="1">
      <alignment horizontal="left" wrapText="1"/>
    </xf>
    <xf numFmtId="0" fontId="20" fillId="18" borderId="0" xfId="0" applyFont="1" applyFill="1" applyAlignment="1">
      <alignment horizontal="right"/>
    </xf>
    <xf numFmtId="0" fontId="27" fillId="0" borderId="12" xfId="0" applyFont="1" applyFill="1" applyBorder="1" applyAlignment="1">
      <alignment horizontal="center"/>
    </xf>
    <xf numFmtId="0" fontId="27" fillId="0" borderId="21" xfId="0" applyFont="1" applyFill="1" applyBorder="1" applyAlignment="1">
      <alignment horizontal="center"/>
    </xf>
    <xf numFmtId="0" fontId="27" fillId="0" borderId="13" xfId="0" applyFont="1" applyFill="1" applyBorder="1" applyAlignment="1">
      <alignment horizontal="center"/>
    </xf>
    <xf numFmtId="0" fontId="25" fillId="18" borderId="11" xfId="0" applyFont="1" applyFill="1" applyBorder="1" applyAlignment="1">
      <alignment horizontal="left" vertical="top"/>
    </xf>
    <xf numFmtId="0" fontId="25" fillId="18" borderId="0" xfId="0" applyFont="1" applyFill="1" applyBorder="1" applyAlignment="1">
      <alignment horizontal="left" vertical="top"/>
    </xf>
    <xf numFmtId="0" fontId="25" fillId="18" borderId="11" xfId="0" applyFont="1" applyFill="1" applyBorder="1" applyAlignment="1">
      <alignment vertical="top" wrapText="1"/>
    </xf>
    <xf numFmtId="0" fontId="0" fillId="18" borderId="0" xfId="0" applyFill="1" applyAlignment="1">
      <alignment vertical="top" wrapText="1"/>
    </xf>
    <xf numFmtId="0" fontId="0" fillId="18" borderId="11" xfId="0" applyFill="1" applyBorder="1" applyAlignment="1">
      <alignment vertical="top" wrapText="1"/>
    </xf>
    <xf numFmtId="165" fontId="25" fillId="18" borderId="0" xfId="0" applyNumberFormat="1" applyFont="1" applyFill="1" applyAlignment="1">
      <alignment horizontal="center"/>
    </xf>
    <xf numFmtId="0" fontId="34" fillId="18" borderId="0" xfId="0" applyFont="1" applyFill="1" applyAlignment="1">
      <alignment horizontal="center"/>
    </xf>
    <xf numFmtId="0" fontId="28" fillId="18" borderId="0" xfId="0" applyFont="1" applyFill="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43"/>
    <cellStyle name="Note" xfId="38" builtinId="10" customBuiltin="1"/>
    <cellStyle name="Output" xfId="39" builtinId="21" customBuiltin="1"/>
    <cellStyle name="Percent 2" xfId="44"/>
    <cellStyle name="Title" xfId="40" builtinId="15" customBuiltin="1"/>
    <cellStyle name="Total" xfId="41" builtinId="25" customBuiltin="1"/>
    <cellStyle name="Warning Text" xfId="42"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N41"/>
  <sheetViews>
    <sheetView showGridLines="0" tabSelected="1" defaultGridColor="0" colorId="8" zoomScaleNormal="100" workbookViewId="0">
      <selection activeCell="E11" sqref="E11"/>
    </sheetView>
  </sheetViews>
  <sheetFormatPr defaultColWidth="9.140625" defaultRowHeight="12" customHeight="1" x14ac:dyDescent="0.2"/>
  <cols>
    <col min="1" max="1" width="11" style="55" customWidth="1"/>
    <col min="2" max="2" width="10.5703125" style="55" customWidth="1"/>
    <col min="3" max="3" width="9.42578125" style="55" customWidth="1"/>
    <col min="4" max="4" width="10.5703125" style="55" customWidth="1"/>
    <col min="5" max="5" width="9.85546875" style="55" customWidth="1"/>
    <col min="6" max="6" width="11" style="55" bestFit="1" customWidth="1"/>
    <col min="7" max="7" width="9.28515625" style="55" customWidth="1"/>
    <col min="8" max="13" width="10.5703125" style="55" customWidth="1"/>
    <col min="14" max="14" width="9" style="55" customWidth="1"/>
    <col min="15" max="16384" width="9.140625" style="55"/>
  </cols>
  <sheetData>
    <row r="1" spans="1:14" ht="6" customHeight="1" x14ac:dyDescent="0.2"/>
    <row r="2" spans="1:14" ht="12.75" x14ac:dyDescent="0.2">
      <c r="A2" s="113" t="s">
        <v>153</v>
      </c>
      <c r="B2" s="119" t="s">
        <v>152</v>
      </c>
      <c r="J2" s="113" t="s">
        <v>7</v>
      </c>
      <c r="K2" s="115"/>
      <c r="M2" s="113" t="s">
        <v>5</v>
      </c>
      <c r="N2" s="115"/>
    </row>
    <row r="3" spans="1:14" ht="15" customHeight="1" x14ac:dyDescent="0.25">
      <c r="C3" s="118"/>
      <c r="E3" s="117" t="s">
        <v>151</v>
      </c>
      <c r="G3" s="116"/>
      <c r="H3" s="116"/>
      <c r="I3" s="116"/>
      <c r="J3" s="113" t="s">
        <v>8</v>
      </c>
      <c r="K3" s="115"/>
      <c r="M3" s="113" t="s">
        <v>6</v>
      </c>
      <c r="N3" s="115"/>
    </row>
    <row r="4" spans="1:14" ht="6" customHeight="1" x14ac:dyDescent="0.2"/>
    <row r="5" spans="1:14" ht="12" customHeight="1" x14ac:dyDescent="0.2">
      <c r="D5" s="114"/>
      <c r="E5" s="114"/>
      <c r="F5" s="114"/>
      <c r="G5" s="114"/>
      <c r="H5" s="114"/>
      <c r="I5" s="114"/>
      <c r="J5" s="114"/>
      <c r="L5" s="121">
        <v>44041.613984143522</v>
      </c>
      <c r="M5" s="121"/>
      <c r="N5" s="113"/>
    </row>
    <row r="6" spans="1:14" ht="12" customHeight="1" x14ac:dyDescent="0.2">
      <c r="A6" s="112"/>
      <c r="B6" s="112"/>
      <c r="C6" s="108"/>
      <c r="D6" s="111" t="s">
        <v>16</v>
      </c>
      <c r="E6" s="111" t="s">
        <v>10</v>
      </c>
      <c r="F6" s="111" t="s">
        <v>11</v>
      </c>
      <c r="G6" s="111" t="s">
        <v>12</v>
      </c>
      <c r="H6" s="111" t="s">
        <v>1</v>
      </c>
      <c r="I6" s="110" t="s">
        <v>2</v>
      </c>
      <c r="J6" s="109" t="s">
        <v>150</v>
      </c>
      <c r="K6" s="109" t="s">
        <v>149</v>
      </c>
      <c r="L6" s="109" t="s">
        <v>148</v>
      </c>
      <c r="M6" s="109" t="s">
        <v>147</v>
      </c>
      <c r="N6" s="108"/>
    </row>
    <row r="7" spans="1:14" ht="6" customHeight="1" x14ac:dyDescent="0.2">
      <c r="A7" s="62"/>
      <c r="B7" s="62"/>
      <c r="C7" s="88"/>
      <c r="D7" s="57"/>
      <c r="E7" s="57"/>
      <c r="F7" s="57"/>
      <c r="G7" s="57"/>
      <c r="H7" s="57"/>
      <c r="I7" s="88"/>
      <c r="J7" s="88"/>
      <c r="K7" s="88"/>
      <c r="L7" s="88"/>
      <c r="M7" s="88"/>
      <c r="N7" s="56"/>
    </row>
    <row r="8" spans="1:14" ht="15" customHeight="1" x14ac:dyDescent="0.2">
      <c r="A8" s="62"/>
      <c r="B8" s="62"/>
      <c r="C8" s="107" t="s">
        <v>146</v>
      </c>
      <c r="D8" s="57"/>
      <c r="E8" s="57">
        <v>10</v>
      </c>
      <c r="F8" s="57">
        <f>E8*15</f>
        <v>150</v>
      </c>
      <c r="G8" s="57">
        <f>E8*10</f>
        <v>100</v>
      </c>
      <c r="H8" s="57"/>
      <c r="I8" s="88"/>
      <c r="J8" s="88"/>
      <c r="K8" s="88"/>
      <c r="L8" s="88"/>
      <c r="M8" s="88"/>
      <c r="N8" s="56"/>
    </row>
    <row r="9" spans="1:14" ht="12" customHeight="1" x14ac:dyDescent="0.2">
      <c r="A9" s="62"/>
      <c r="B9" s="62"/>
      <c r="C9" s="65" t="s">
        <v>145</v>
      </c>
      <c r="D9" s="104" t="s">
        <v>134</v>
      </c>
      <c r="E9" s="96">
        <v>0.32</v>
      </c>
      <c r="F9" s="96">
        <v>0.5</v>
      </c>
      <c r="G9" s="96">
        <v>0.5</v>
      </c>
      <c r="H9" s="96">
        <v>0.5</v>
      </c>
      <c r="I9" s="96">
        <v>0.5</v>
      </c>
      <c r="J9" s="96">
        <v>0.35</v>
      </c>
      <c r="K9" s="96">
        <v>0.2</v>
      </c>
      <c r="L9" s="96">
        <v>0.1</v>
      </c>
      <c r="M9" s="96">
        <v>0.05</v>
      </c>
      <c r="N9" s="56"/>
    </row>
    <row r="10" spans="1:14" ht="12" customHeight="1" x14ac:dyDescent="0.2">
      <c r="A10" s="62"/>
      <c r="B10" s="99"/>
      <c r="C10" s="98" t="s">
        <v>144</v>
      </c>
      <c r="D10" s="96">
        <v>0.15</v>
      </c>
      <c r="E10" s="96">
        <v>0.25</v>
      </c>
      <c r="F10" s="96">
        <v>0.15</v>
      </c>
      <c r="G10" s="96">
        <v>0.15</v>
      </c>
      <c r="H10" s="96">
        <v>0.15</v>
      </c>
      <c r="I10" s="96">
        <v>0.15</v>
      </c>
      <c r="J10" s="96">
        <v>0.14000000000000001</v>
      </c>
      <c r="K10" s="96">
        <v>0.13</v>
      </c>
      <c r="L10" s="96">
        <v>0.13</v>
      </c>
      <c r="M10" s="96">
        <v>0.12</v>
      </c>
      <c r="N10" s="56"/>
    </row>
    <row r="11" spans="1:14" ht="12" customHeight="1" x14ac:dyDescent="0.2">
      <c r="A11" s="62"/>
      <c r="B11" s="62"/>
      <c r="C11" s="65" t="s">
        <v>143</v>
      </c>
      <c r="D11" s="104" t="s">
        <v>134</v>
      </c>
      <c r="E11" s="96">
        <v>0.35</v>
      </c>
      <c r="F11" s="97">
        <v>0.35</v>
      </c>
      <c r="G11" s="97">
        <v>0.35</v>
      </c>
      <c r="H11" s="97">
        <v>0.35</v>
      </c>
      <c r="I11" s="96">
        <v>0.35</v>
      </c>
      <c r="J11" s="96">
        <v>0.3</v>
      </c>
      <c r="K11" s="96">
        <v>0.25</v>
      </c>
      <c r="L11" s="96">
        <v>0.25</v>
      </c>
      <c r="M11" s="96">
        <v>0.25</v>
      </c>
      <c r="N11" s="56"/>
    </row>
    <row r="12" spans="1:14" ht="12" customHeight="1" x14ac:dyDescent="0.2">
      <c r="A12" s="62"/>
      <c r="B12" s="99"/>
      <c r="C12" s="98" t="s">
        <v>142</v>
      </c>
      <c r="D12" s="103" t="s">
        <v>134</v>
      </c>
      <c r="E12" s="96">
        <v>0.1</v>
      </c>
      <c r="F12" s="96">
        <v>0.1</v>
      </c>
      <c r="G12" s="96">
        <v>0.1</v>
      </c>
      <c r="H12" s="96">
        <v>0.1</v>
      </c>
      <c r="I12" s="96">
        <v>0.1</v>
      </c>
      <c r="J12" s="96">
        <v>0.1</v>
      </c>
      <c r="K12" s="96">
        <v>0.1</v>
      </c>
      <c r="L12" s="96">
        <v>0.1</v>
      </c>
      <c r="M12" s="96">
        <v>0.1</v>
      </c>
      <c r="N12" s="56"/>
    </row>
    <row r="13" spans="1:14" ht="12" customHeight="1" x14ac:dyDescent="0.2">
      <c r="A13" s="62"/>
      <c r="B13" s="62"/>
      <c r="C13" s="65" t="s">
        <v>141</v>
      </c>
      <c r="D13" s="104" t="s">
        <v>134</v>
      </c>
      <c r="E13" s="105">
        <v>5</v>
      </c>
      <c r="F13" s="106">
        <v>5</v>
      </c>
      <c r="G13" s="106">
        <v>5</v>
      </c>
      <c r="H13" s="106">
        <v>5</v>
      </c>
      <c r="I13" s="105">
        <v>5</v>
      </c>
      <c r="J13" s="105">
        <v>6</v>
      </c>
      <c r="K13" s="105">
        <v>7</v>
      </c>
      <c r="L13" s="105">
        <v>8</v>
      </c>
      <c r="M13" s="105">
        <v>9</v>
      </c>
      <c r="N13" s="56"/>
    </row>
    <row r="14" spans="1:14" ht="12" customHeight="1" x14ac:dyDescent="0.2">
      <c r="A14" s="62"/>
      <c r="B14" s="99"/>
      <c r="C14" s="98" t="s">
        <v>140</v>
      </c>
      <c r="D14" s="103" t="s">
        <v>134</v>
      </c>
      <c r="E14" s="96">
        <v>0.08</v>
      </c>
      <c r="F14" s="97">
        <v>0.08</v>
      </c>
      <c r="G14" s="97">
        <v>0.08</v>
      </c>
      <c r="H14" s="97">
        <v>0.08</v>
      </c>
      <c r="I14" s="96">
        <v>0.08</v>
      </c>
      <c r="J14" s="96">
        <v>0.08</v>
      </c>
      <c r="K14" s="96">
        <v>7.0000000000000007E-2</v>
      </c>
      <c r="L14" s="96">
        <v>7.0000000000000007E-2</v>
      </c>
      <c r="M14" s="96">
        <v>7.0000000000000007E-2</v>
      </c>
      <c r="N14" s="56"/>
    </row>
    <row r="15" spans="1:14" ht="12" customHeight="1" x14ac:dyDescent="0.2">
      <c r="A15" s="62"/>
      <c r="B15" s="62"/>
      <c r="C15" s="65" t="s">
        <v>139</v>
      </c>
      <c r="D15" s="104" t="s">
        <v>134</v>
      </c>
      <c r="E15" s="105">
        <v>5</v>
      </c>
      <c r="F15" s="106">
        <v>5</v>
      </c>
      <c r="G15" s="106">
        <v>5</v>
      </c>
      <c r="H15" s="106">
        <v>5</v>
      </c>
      <c r="I15" s="105">
        <v>5</v>
      </c>
      <c r="J15" s="105">
        <v>5</v>
      </c>
      <c r="K15" s="105">
        <v>5</v>
      </c>
      <c r="L15" s="105">
        <v>5</v>
      </c>
      <c r="M15" s="105">
        <v>5</v>
      </c>
      <c r="N15" s="56"/>
    </row>
    <row r="16" spans="1:14" ht="12" customHeight="1" x14ac:dyDescent="0.2">
      <c r="A16" s="62"/>
      <c r="B16" s="99"/>
      <c r="C16" s="98" t="s">
        <v>138</v>
      </c>
      <c r="D16" s="103" t="s">
        <v>134</v>
      </c>
      <c r="E16" s="96">
        <v>0.1</v>
      </c>
      <c r="F16" s="97">
        <v>0.1</v>
      </c>
      <c r="G16" s="97">
        <v>0.1</v>
      </c>
      <c r="H16" s="97">
        <v>0.1</v>
      </c>
      <c r="I16" s="96">
        <v>0.1</v>
      </c>
      <c r="J16" s="96">
        <v>0.1</v>
      </c>
      <c r="K16" s="96">
        <v>0.1</v>
      </c>
      <c r="L16" s="96">
        <v>0.1</v>
      </c>
      <c r="M16" s="96">
        <v>0.1</v>
      </c>
      <c r="N16" s="56"/>
    </row>
    <row r="17" spans="1:14" ht="12" customHeight="1" x14ac:dyDescent="0.2">
      <c r="A17" s="62"/>
      <c r="B17" s="62"/>
      <c r="C17" s="65" t="s">
        <v>137</v>
      </c>
      <c r="D17" s="104" t="s">
        <v>134</v>
      </c>
      <c r="E17" s="102" t="s">
        <v>136</v>
      </c>
      <c r="F17" s="97" t="s">
        <v>136</v>
      </c>
      <c r="G17" s="97" t="s">
        <v>136</v>
      </c>
      <c r="H17" s="97" t="s">
        <v>136</v>
      </c>
      <c r="I17" s="96" t="s">
        <v>136</v>
      </c>
      <c r="J17" s="96" t="s">
        <v>136</v>
      </c>
      <c r="K17" s="96" t="s">
        <v>136</v>
      </c>
      <c r="L17" s="96" t="s">
        <v>136</v>
      </c>
      <c r="M17" s="102" t="s">
        <v>136</v>
      </c>
      <c r="N17" s="56"/>
    </row>
    <row r="18" spans="1:14" ht="12" customHeight="1" x14ac:dyDescent="0.2">
      <c r="A18" s="62"/>
      <c r="B18" s="99"/>
      <c r="C18" s="98" t="s">
        <v>135</v>
      </c>
      <c r="D18" s="103" t="s">
        <v>134</v>
      </c>
      <c r="E18" s="102" t="s">
        <v>133</v>
      </c>
      <c r="F18" s="97" t="s">
        <v>133</v>
      </c>
      <c r="G18" s="97" t="s">
        <v>133</v>
      </c>
      <c r="H18" s="97" t="s">
        <v>133</v>
      </c>
      <c r="I18" s="96" t="s">
        <v>133</v>
      </c>
      <c r="J18" s="96" t="s">
        <v>133</v>
      </c>
      <c r="K18" s="96" t="s">
        <v>133</v>
      </c>
      <c r="L18" s="96" t="s">
        <v>133</v>
      </c>
      <c r="M18" s="102" t="s">
        <v>133</v>
      </c>
      <c r="N18" s="56"/>
    </row>
    <row r="19" spans="1:14" ht="12" customHeight="1" x14ac:dyDescent="0.2">
      <c r="A19" s="62"/>
      <c r="B19" s="62"/>
      <c r="C19" s="65" t="s">
        <v>132</v>
      </c>
      <c r="D19" s="100">
        <v>43.8</v>
      </c>
      <c r="E19" s="100">
        <v>43.8</v>
      </c>
      <c r="F19" s="101">
        <v>43.8</v>
      </c>
      <c r="G19" s="101">
        <v>43.8</v>
      </c>
      <c r="H19" s="101">
        <v>43.8</v>
      </c>
      <c r="I19" s="100">
        <v>43.8</v>
      </c>
      <c r="J19" s="100">
        <v>43.8</v>
      </c>
      <c r="K19" s="100">
        <v>43.8</v>
      </c>
      <c r="L19" s="100">
        <v>43.8</v>
      </c>
      <c r="M19" s="100">
        <v>43.8</v>
      </c>
      <c r="N19" s="56"/>
    </row>
    <row r="20" spans="1:14" ht="12" customHeight="1" x14ac:dyDescent="0.2">
      <c r="A20" s="62"/>
      <c r="B20" s="62"/>
      <c r="C20" s="65" t="s">
        <v>131</v>
      </c>
      <c r="D20" s="100">
        <v>5.5555555555555554</v>
      </c>
      <c r="E20" s="100">
        <v>5.5555555555555554</v>
      </c>
      <c r="F20" s="101">
        <v>5.5555555555555554</v>
      </c>
      <c r="G20" s="101">
        <v>5.5555555555555554</v>
      </c>
      <c r="H20" s="101">
        <v>5.5555555555555554</v>
      </c>
      <c r="I20" s="100">
        <v>5.5555555555555554</v>
      </c>
      <c r="J20" s="100">
        <v>5.5555555555555554</v>
      </c>
      <c r="K20" s="100">
        <v>5.5555555555555554</v>
      </c>
      <c r="L20" s="100">
        <v>5.5555555555555554</v>
      </c>
      <c r="M20" s="100">
        <v>5.5555555555555554</v>
      </c>
      <c r="N20" s="56"/>
    </row>
    <row r="21" spans="1:14" ht="12" customHeight="1" x14ac:dyDescent="0.2">
      <c r="A21" s="62"/>
      <c r="B21" s="99"/>
      <c r="C21" s="98" t="s">
        <v>130</v>
      </c>
      <c r="D21" s="96">
        <v>0.06</v>
      </c>
      <c r="E21" s="96">
        <v>0.06</v>
      </c>
      <c r="F21" s="97">
        <v>0.06</v>
      </c>
      <c r="G21" s="97">
        <v>0.06</v>
      </c>
      <c r="H21" s="97">
        <v>0.06</v>
      </c>
      <c r="I21" s="96">
        <v>0.06</v>
      </c>
      <c r="J21" s="96">
        <v>0.06</v>
      </c>
      <c r="K21" s="96">
        <v>0.06</v>
      </c>
      <c r="L21" s="96">
        <v>0.06</v>
      </c>
      <c r="M21" s="96">
        <v>0.06</v>
      </c>
      <c r="N21" s="56"/>
    </row>
    <row r="22" spans="1:14" ht="6" customHeight="1" x14ac:dyDescent="0.2">
      <c r="A22" s="62"/>
      <c r="B22" s="62"/>
      <c r="C22" s="60"/>
      <c r="D22" s="95"/>
      <c r="E22" s="93"/>
      <c r="F22" s="94"/>
      <c r="G22" s="94"/>
      <c r="H22" s="94"/>
      <c r="I22" s="93"/>
      <c r="J22" s="93"/>
      <c r="K22" s="93"/>
      <c r="L22" s="93"/>
      <c r="M22" s="93"/>
      <c r="N22" s="56"/>
    </row>
    <row r="23" spans="1:14" ht="12" customHeight="1" x14ac:dyDescent="0.2">
      <c r="A23" s="62"/>
      <c r="B23" s="62"/>
      <c r="C23" s="65" t="s">
        <v>129</v>
      </c>
      <c r="D23" s="92" t="s">
        <v>128</v>
      </c>
      <c r="E23" s="91"/>
      <c r="F23" s="90"/>
      <c r="G23" s="90"/>
      <c r="H23" s="90"/>
      <c r="I23" s="56"/>
      <c r="J23" s="56"/>
      <c r="K23" s="56"/>
      <c r="L23" s="56"/>
      <c r="M23" s="56"/>
      <c r="N23" s="56"/>
    </row>
    <row r="24" spans="1:14" ht="6" customHeight="1" x14ac:dyDescent="0.2">
      <c r="A24" s="62"/>
      <c r="B24" s="62"/>
      <c r="C24" s="60"/>
      <c r="D24" s="91"/>
      <c r="E24" s="91"/>
      <c r="F24" s="90"/>
      <c r="G24" s="90"/>
      <c r="H24" s="90"/>
      <c r="I24" s="56"/>
      <c r="J24" s="56"/>
      <c r="K24" s="56"/>
      <c r="L24" s="56"/>
      <c r="M24" s="56"/>
      <c r="N24" s="56"/>
    </row>
    <row r="25" spans="1:14" ht="12" customHeight="1" x14ac:dyDescent="0.2">
      <c r="A25" s="62"/>
      <c r="B25" s="62"/>
      <c r="C25" s="88"/>
      <c r="D25" s="89"/>
      <c r="E25" s="57"/>
      <c r="F25" s="57"/>
      <c r="G25" s="57"/>
      <c r="H25" s="57"/>
      <c r="I25" s="88"/>
      <c r="J25" s="88"/>
      <c r="K25" s="88"/>
      <c r="L25" s="88"/>
      <c r="M25" s="88"/>
      <c r="N25" s="56"/>
    </row>
    <row r="26" spans="1:14" ht="15" customHeight="1" x14ac:dyDescent="0.25">
      <c r="A26" s="76"/>
      <c r="B26" s="87"/>
      <c r="C26" s="86" t="s">
        <v>127</v>
      </c>
      <c r="D26" s="85" t="s">
        <v>126</v>
      </c>
      <c r="E26" s="72"/>
      <c r="F26" s="57"/>
      <c r="G26" s="60"/>
      <c r="H26" s="84" t="s">
        <v>16</v>
      </c>
      <c r="I26" s="83" t="s">
        <v>2</v>
      </c>
      <c r="J26" s="83" t="s">
        <v>125</v>
      </c>
      <c r="K26" s="83" t="s">
        <v>124</v>
      </c>
      <c r="L26" s="83" t="s">
        <v>123</v>
      </c>
      <c r="M26" s="83" t="s">
        <v>122</v>
      </c>
      <c r="N26" s="56"/>
    </row>
    <row r="27" spans="1:14" ht="15" customHeight="1" x14ac:dyDescent="0.25">
      <c r="A27" s="76"/>
      <c r="B27" s="82"/>
      <c r="C27" s="81" t="s">
        <v>119</v>
      </c>
      <c r="D27" s="77">
        <v>17165.449409407189</v>
      </c>
      <c r="E27" s="80"/>
      <c r="F27" s="57"/>
      <c r="G27" s="65" t="s">
        <v>121</v>
      </c>
      <c r="H27" s="71">
        <v>5000</v>
      </c>
      <c r="I27" s="71">
        <v>37968.75</v>
      </c>
      <c r="J27" s="71">
        <v>170253.14458007819</v>
      </c>
      <c r="K27" s="71">
        <v>423644.30472150014</v>
      </c>
      <c r="L27" s="71">
        <v>682283.38919702347</v>
      </c>
      <c r="M27" s="71">
        <v>870785.71003217285</v>
      </c>
      <c r="N27" s="56"/>
    </row>
    <row r="28" spans="1:14" ht="15" customHeight="1" x14ac:dyDescent="0.25">
      <c r="A28" s="76"/>
      <c r="B28" s="79"/>
      <c r="C28" s="78" t="s">
        <v>0</v>
      </c>
      <c r="D28" s="77">
        <v>750</v>
      </c>
      <c r="E28" s="72"/>
      <c r="F28" s="57"/>
      <c r="G28" s="65" t="s">
        <v>0</v>
      </c>
      <c r="H28" s="71">
        <v>750</v>
      </c>
      <c r="I28" s="71">
        <v>5695.3125</v>
      </c>
      <c r="J28" s="71">
        <v>23835.440241210948</v>
      </c>
      <c r="K28" s="71">
        <v>55073.759613795017</v>
      </c>
      <c r="L28" s="71">
        <v>88696.840595613059</v>
      </c>
      <c r="M28" s="71">
        <v>104494.28520386074</v>
      </c>
      <c r="N28" s="56"/>
    </row>
    <row r="29" spans="1:14" ht="15" customHeight="1" x14ac:dyDescent="0.25">
      <c r="A29" s="76"/>
      <c r="B29" s="75"/>
      <c r="C29" s="74" t="s">
        <v>120</v>
      </c>
      <c r="D29" s="73">
        <v>22.887265879209586</v>
      </c>
      <c r="E29" s="72"/>
      <c r="F29" s="57"/>
      <c r="G29" s="65" t="s">
        <v>119</v>
      </c>
      <c r="H29" s="71">
        <v>17165.449409407189</v>
      </c>
      <c r="I29" s="71">
        <v>68359.091032798824</v>
      </c>
      <c r="J29" s="71">
        <v>189111.4511537737</v>
      </c>
      <c r="K29" s="71">
        <v>346065.88716933475</v>
      </c>
      <c r="L29" s="71">
        <v>472538.44746136403</v>
      </c>
      <c r="M29" s="71">
        <v>556700.40744675125</v>
      </c>
      <c r="N29" s="56"/>
    </row>
    <row r="30" spans="1:14" ht="12" customHeight="1" x14ac:dyDescent="0.2">
      <c r="A30" s="62"/>
      <c r="B30" s="62"/>
      <c r="C30" s="60"/>
      <c r="D30" s="58"/>
      <c r="E30" s="58"/>
      <c r="F30" s="58"/>
      <c r="G30" s="70"/>
      <c r="H30" s="58"/>
      <c r="I30" s="58"/>
      <c r="J30" s="57"/>
      <c r="K30" s="57"/>
      <c r="L30" s="57"/>
      <c r="M30" s="57"/>
      <c r="N30" s="56"/>
    </row>
    <row r="31" spans="1:14" ht="12" customHeight="1" x14ac:dyDescent="0.2">
      <c r="A31" s="62"/>
      <c r="B31" s="62"/>
      <c r="C31" s="60"/>
      <c r="D31" s="58"/>
      <c r="E31" s="58"/>
      <c r="F31" s="58"/>
      <c r="G31" s="65" t="s">
        <v>118</v>
      </c>
      <c r="H31" s="60"/>
      <c r="I31" s="66">
        <v>22.887265879209586</v>
      </c>
      <c r="J31" s="66">
        <v>12.002693624414608</v>
      </c>
      <c r="K31" s="66">
        <v>7.9340448189752415</v>
      </c>
      <c r="L31" s="66">
        <v>6.2836800973117386</v>
      </c>
      <c r="M31" s="66">
        <v>5.3275679752310792</v>
      </c>
      <c r="N31" s="56"/>
    </row>
    <row r="32" spans="1:14" ht="3" customHeight="1" x14ac:dyDescent="0.2">
      <c r="A32" s="62"/>
      <c r="B32" s="62"/>
      <c r="C32" s="60"/>
      <c r="D32" s="58"/>
      <c r="E32" s="58"/>
      <c r="F32" s="58"/>
      <c r="G32" s="65"/>
      <c r="H32" s="60"/>
      <c r="I32" s="69"/>
      <c r="J32" s="69"/>
      <c r="K32" s="69"/>
      <c r="L32" s="69"/>
      <c r="M32" s="69"/>
      <c r="N32" s="56"/>
    </row>
    <row r="33" spans="1:14" ht="12" customHeight="1" x14ac:dyDescent="0.2">
      <c r="A33" s="62"/>
      <c r="B33" s="68" t="s">
        <v>117</v>
      </c>
      <c r="C33" s="67" t="s">
        <v>13</v>
      </c>
      <c r="D33" s="58"/>
      <c r="E33" s="58"/>
      <c r="F33" s="58"/>
      <c r="G33" s="65" t="s">
        <v>116</v>
      </c>
      <c r="H33" s="60"/>
      <c r="I33" s="66">
        <v>12.002693624414608</v>
      </c>
      <c r="J33" s="66">
        <v>7.9340448189752415</v>
      </c>
      <c r="K33" s="66">
        <v>6.2836800973117386</v>
      </c>
      <c r="L33" s="66">
        <v>5.3275679752310792</v>
      </c>
      <c r="M33" s="66" t="s">
        <v>115</v>
      </c>
      <c r="N33" s="56"/>
    </row>
    <row r="34" spans="1:14" ht="12" customHeight="1" x14ac:dyDescent="0.2">
      <c r="A34" s="62"/>
      <c r="B34" s="62"/>
      <c r="C34" s="60"/>
      <c r="D34" s="58"/>
      <c r="E34" s="58"/>
      <c r="F34" s="58"/>
      <c r="G34" s="58"/>
      <c r="H34" s="58"/>
      <c r="I34" s="58"/>
      <c r="J34" s="57"/>
      <c r="K34" s="57"/>
      <c r="L34" s="57"/>
      <c r="M34" s="57"/>
      <c r="N34" s="56"/>
    </row>
    <row r="35" spans="1:14" ht="12" customHeight="1" x14ac:dyDescent="0.2">
      <c r="A35" s="65" t="s">
        <v>48</v>
      </c>
      <c r="B35" s="122" t="s">
        <v>114</v>
      </c>
      <c r="C35" s="122"/>
      <c r="D35" s="122"/>
      <c r="E35" s="122"/>
      <c r="F35" s="122"/>
      <c r="G35" s="122"/>
      <c r="H35" s="122"/>
      <c r="I35" s="122"/>
      <c r="J35" s="122"/>
      <c r="K35" s="122"/>
      <c r="L35" s="122"/>
      <c r="M35" s="122"/>
      <c r="N35" s="122"/>
    </row>
    <row r="36" spans="1:14" ht="12" customHeight="1" x14ac:dyDescent="0.2">
      <c r="A36" s="62"/>
      <c r="B36" s="122"/>
      <c r="C36" s="122"/>
      <c r="D36" s="122"/>
      <c r="E36" s="122"/>
      <c r="F36" s="122"/>
      <c r="G36" s="122"/>
      <c r="H36" s="122"/>
      <c r="I36" s="122"/>
      <c r="J36" s="122"/>
      <c r="K36" s="122"/>
      <c r="L36" s="122"/>
      <c r="M36" s="122"/>
      <c r="N36" s="122"/>
    </row>
    <row r="37" spans="1:14" ht="12" customHeight="1" x14ac:dyDescent="0.2">
      <c r="A37" s="62"/>
      <c r="B37" s="123" t="s">
        <v>113</v>
      </c>
      <c r="C37" s="123"/>
      <c r="D37" s="123"/>
      <c r="E37" s="123"/>
      <c r="F37" s="123"/>
      <c r="G37" s="123"/>
      <c r="H37" s="123"/>
      <c r="I37" s="123"/>
      <c r="J37" s="123"/>
      <c r="K37" s="123"/>
      <c r="L37" s="123"/>
      <c r="M37" s="123"/>
      <c r="N37" s="123"/>
    </row>
    <row r="38" spans="1:14" ht="12" customHeight="1" x14ac:dyDescent="0.2">
      <c r="A38" s="64"/>
      <c r="B38" s="123"/>
      <c r="C38" s="123"/>
      <c r="D38" s="123"/>
      <c r="E38" s="123"/>
      <c r="F38" s="123"/>
      <c r="G38" s="123"/>
      <c r="H38" s="123"/>
      <c r="I38" s="123"/>
      <c r="J38" s="123"/>
      <c r="K38" s="123"/>
      <c r="L38" s="123"/>
      <c r="M38" s="123"/>
      <c r="N38" s="123"/>
    </row>
    <row r="39" spans="1:14" ht="12" customHeight="1" x14ac:dyDescent="0.2">
      <c r="A39" s="62"/>
      <c r="B39" s="123"/>
      <c r="C39" s="123"/>
      <c r="D39" s="123"/>
      <c r="E39" s="123"/>
      <c r="F39" s="123"/>
      <c r="G39" s="123"/>
      <c r="H39" s="123"/>
      <c r="I39" s="123"/>
      <c r="J39" s="123"/>
      <c r="K39" s="123"/>
      <c r="L39" s="123"/>
      <c r="M39" s="123"/>
      <c r="N39" s="123"/>
    </row>
    <row r="40" spans="1:14" ht="12" customHeight="1" x14ac:dyDescent="0.2">
      <c r="A40" s="62"/>
      <c r="B40" s="63" t="s">
        <v>112</v>
      </c>
      <c r="C40" s="62"/>
      <c r="D40" s="62"/>
      <c r="E40" s="62"/>
      <c r="F40" s="62"/>
      <c r="G40" s="62"/>
      <c r="H40" s="62"/>
      <c r="I40" s="62"/>
      <c r="J40" s="57"/>
      <c r="K40" s="57"/>
      <c r="L40" s="57"/>
      <c r="M40" s="57"/>
      <c r="N40" s="56"/>
    </row>
    <row r="41" spans="1:14" ht="12" customHeight="1" x14ac:dyDescent="0.2">
      <c r="A41" s="62"/>
      <c r="B41" s="61"/>
      <c r="C41" s="60"/>
      <c r="D41" s="59"/>
      <c r="E41" s="58"/>
      <c r="F41" s="58"/>
      <c r="G41" s="58"/>
      <c r="H41" s="58"/>
      <c r="I41" s="58"/>
      <c r="J41" s="57"/>
      <c r="K41" s="57"/>
      <c r="L41" s="57"/>
      <c r="M41" s="57"/>
      <c r="N41" s="56"/>
    </row>
  </sheetData>
  <mergeCells count="3">
    <mergeCell ref="L5:M5"/>
    <mergeCell ref="B35:N36"/>
    <mergeCell ref="B37:N39"/>
  </mergeCells>
  <pageMargins left="0.75" right="0.75" top="1" bottom="1" header="0.5" footer="0.5"/>
  <pageSetup scale="87" orientation="landscape"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12122">
    <pageSetUpPr autoPageBreaks="0" fitToPage="1"/>
  </sheetPr>
  <dimension ref="A1:N74"/>
  <sheetViews>
    <sheetView showGridLines="0" defaultGridColor="0" colorId="8" zoomScaleNormal="100" workbookViewId="0">
      <selection activeCell="B2" sqref="B2"/>
    </sheetView>
  </sheetViews>
  <sheetFormatPr defaultColWidth="9.140625" defaultRowHeight="12" customHeight="1" x14ac:dyDescent="0.2"/>
  <cols>
    <col min="1" max="2" width="11" style="1" customWidth="1"/>
    <col min="3" max="3" width="9.140625" style="1"/>
    <col min="4" max="4" width="9.28515625" style="1" customWidth="1"/>
    <col min="5" max="5" width="9.85546875" style="1" customWidth="1"/>
    <col min="6" max="6" width="11" style="1" bestFit="1" customWidth="1"/>
    <col min="7" max="8" width="9.28515625" style="1" customWidth="1"/>
    <col min="9" max="9" width="9.5703125" style="1" customWidth="1"/>
    <col min="10" max="10" width="10.28515625" style="1" customWidth="1"/>
    <col min="11" max="11" width="9.85546875" style="1" customWidth="1"/>
    <col min="12" max="12" width="12.5703125" style="1" bestFit="1" customWidth="1"/>
    <col min="13" max="13" width="11.42578125" style="1" customWidth="1"/>
    <col min="14" max="14" width="9" style="1" customWidth="1"/>
    <col min="15" max="16384" width="9.140625" style="1"/>
  </cols>
  <sheetData>
    <row r="1" spans="1:14" ht="6" customHeight="1" x14ac:dyDescent="0.2"/>
    <row r="2" spans="1:14" ht="12.75" x14ac:dyDescent="0.2">
      <c r="A2" s="120" t="s">
        <v>153</v>
      </c>
      <c r="B2" s="119" t="s">
        <v>152</v>
      </c>
      <c r="C2" s="55"/>
      <c r="D2" s="55"/>
      <c r="E2" s="55"/>
      <c r="F2" s="55"/>
      <c r="G2" s="55"/>
      <c r="H2" s="55"/>
      <c r="I2" s="55"/>
      <c r="J2" s="113" t="s">
        <v>7</v>
      </c>
      <c r="K2" s="115"/>
      <c r="L2" s="55"/>
      <c r="M2" s="113" t="s">
        <v>5</v>
      </c>
      <c r="N2" s="115"/>
    </row>
    <row r="3" spans="1:14" ht="15" customHeight="1" x14ac:dyDescent="0.25">
      <c r="A3" s="55"/>
      <c r="B3" s="55"/>
      <c r="C3" s="118"/>
      <c r="D3" s="55"/>
      <c r="E3" s="117" t="s">
        <v>20</v>
      </c>
      <c r="F3" s="55"/>
      <c r="G3" s="116"/>
      <c r="H3" s="116"/>
      <c r="I3" s="116"/>
      <c r="J3" s="113" t="s">
        <v>8</v>
      </c>
      <c r="K3" s="115"/>
      <c r="L3" s="55"/>
      <c r="M3" s="113" t="s">
        <v>6</v>
      </c>
      <c r="N3" s="115"/>
    </row>
    <row r="4" spans="1:14" ht="6" customHeight="1" x14ac:dyDescent="0.2">
      <c r="A4" s="55"/>
      <c r="B4" s="55"/>
      <c r="C4" s="55"/>
      <c r="D4" s="55"/>
      <c r="E4" s="55"/>
      <c r="F4" s="55"/>
      <c r="G4" s="55"/>
      <c r="H4" s="55"/>
      <c r="I4" s="55"/>
      <c r="J4" s="55"/>
      <c r="K4" s="55"/>
      <c r="L4" s="55"/>
      <c r="M4" s="55"/>
      <c r="N4" s="55"/>
    </row>
    <row r="5" spans="1:14" ht="12" customHeight="1" x14ac:dyDescent="0.2">
      <c r="A5" s="55"/>
      <c r="B5" s="55"/>
      <c r="C5" s="55"/>
      <c r="D5" s="114"/>
      <c r="E5" s="114"/>
      <c r="F5" s="114"/>
      <c r="G5" s="114"/>
      <c r="H5" s="114"/>
      <c r="I5" s="114"/>
      <c r="J5" s="114"/>
      <c r="K5" s="55"/>
      <c r="L5" s="121">
        <v>44041.613984143522</v>
      </c>
      <c r="M5" s="121"/>
      <c r="N5" s="113"/>
    </row>
    <row r="6" spans="1:14" ht="12" customHeight="1" x14ac:dyDescent="0.2">
      <c r="A6" s="8" t="s">
        <v>21</v>
      </c>
      <c r="B6" s="12"/>
      <c r="C6" s="12"/>
      <c r="D6" s="24"/>
      <c r="E6" s="10"/>
      <c r="F6" s="10"/>
      <c r="G6" s="10"/>
      <c r="H6" s="10"/>
      <c r="I6" s="10"/>
      <c r="J6" s="10"/>
      <c r="K6" s="10"/>
      <c r="L6" s="17"/>
      <c r="M6" s="25"/>
      <c r="N6" s="25"/>
    </row>
    <row r="7" spans="1:14" ht="3" customHeight="1" x14ac:dyDescent="0.2">
      <c r="A7" s="18"/>
      <c r="B7" s="18"/>
      <c r="C7" s="10"/>
      <c r="D7" s="18"/>
      <c r="E7" s="10"/>
      <c r="F7" s="10"/>
      <c r="G7" s="10"/>
      <c r="H7" s="10"/>
      <c r="I7" s="10"/>
      <c r="J7" s="10"/>
      <c r="K7" s="13"/>
      <c r="L7" s="13"/>
      <c r="M7" s="13"/>
      <c r="N7" s="13"/>
    </row>
    <row r="8" spans="1:14" ht="9.75" customHeight="1" x14ac:dyDescent="0.2">
      <c r="A8" s="18"/>
      <c r="B8" s="5"/>
      <c r="C8" s="5"/>
      <c r="D8" s="26" t="s">
        <v>22</v>
      </c>
      <c r="E8" s="6"/>
      <c r="F8" s="26" t="s">
        <v>23</v>
      </c>
      <c r="G8" s="26" t="s">
        <v>24</v>
      </c>
      <c r="H8" s="26" t="s">
        <v>25</v>
      </c>
      <c r="I8" s="23" t="s">
        <v>19</v>
      </c>
      <c r="J8" s="10"/>
      <c r="K8" s="13"/>
      <c r="L8" s="13"/>
      <c r="M8" s="13"/>
      <c r="N8" s="13"/>
    </row>
    <row r="9" spans="1:14" ht="9.75" customHeight="1" x14ac:dyDescent="0.2">
      <c r="A9" s="134" t="s">
        <v>26</v>
      </c>
      <c r="B9" s="134"/>
      <c r="C9" s="27" t="s">
        <v>0</v>
      </c>
      <c r="D9" s="27" t="s">
        <v>27</v>
      </c>
      <c r="E9" s="27" t="s">
        <v>17</v>
      </c>
      <c r="F9" s="27" t="s">
        <v>28</v>
      </c>
      <c r="G9" s="27" t="s">
        <v>27</v>
      </c>
      <c r="H9" s="27" t="s">
        <v>27</v>
      </c>
      <c r="I9" s="27" t="s">
        <v>29</v>
      </c>
      <c r="J9" s="10"/>
      <c r="K9" s="13"/>
      <c r="L9" s="13"/>
      <c r="M9" s="13"/>
      <c r="N9" s="13"/>
    </row>
    <row r="10" spans="1:14" ht="3" customHeight="1" x14ac:dyDescent="0.2">
      <c r="A10" s="14"/>
      <c r="B10" s="28"/>
      <c r="C10" s="26"/>
      <c r="D10" s="26"/>
      <c r="E10" s="26"/>
      <c r="F10" s="26"/>
      <c r="G10" s="26"/>
      <c r="H10" s="26"/>
      <c r="I10" s="26"/>
      <c r="J10" s="10"/>
      <c r="K10" s="13"/>
      <c r="L10" s="13"/>
      <c r="M10" s="13"/>
      <c r="N10" s="13"/>
    </row>
    <row r="11" spans="1:14" ht="9" customHeight="1" x14ac:dyDescent="0.2">
      <c r="A11" s="26" t="s">
        <v>30</v>
      </c>
      <c r="B11" s="29" t="s">
        <v>0</v>
      </c>
      <c r="C11" s="30" t="s">
        <v>31</v>
      </c>
      <c r="D11" s="30" t="s">
        <v>9</v>
      </c>
      <c r="E11" s="30" t="s">
        <v>9</v>
      </c>
      <c r="F11" s="30" t="s">
        <v>9</v>
      </c>
      <c r="G11" s="30" t="s">
        <v>9</v>
      </c>
      <c r="H11" s="30" t="s">
        <v>9</v>
      </c>
      <c r="I11" s="30" t="s">
        <v>9</v>
      </c>
      <c r="J11" s="10"/>
      <c r="K11" s="13"/>
      <c r="L11" s="13"/>
      <c r="M11" s="13"/>
      <c r="N11" s="13"/>
    </row>
    <row r="12" spans="1:14" ht="9" customHeight="1" x14ac:dyDescent="0.2">
      <c r="A12" s="26" t="s">
        <v>32</v>
      </c>
      <c r="B12" s="29" t="s">
        <v>33</v>
      </c>
      <c r="C12" s="30" t="s">
        <v>9</v>
      </c>
      <c r="D12" s="30" t="s">
        <v>9</v>
      </c>
      <c r="E12" s="30" t="s">
        <v>31</v>
      </c>
      <c r="F12" s="30" t="s">
        <v>31</v>
      </c>
      <c r="G12" s="30" t="s">
        <v>9</v>
      </c>
      <c r="H12" s="30" t="s">
        <v>31</v>
      </c>
      <c r="I12" s="30" t="s">
        <v>9</v>
      </c>
      <c r="J12" s="31"/>
      <c r="K12" s="32"/>
      <c r="L12" s="10"/>
      <c r="M12" s="10"/>
      <c r="N12" s="10"/>
    </row>
    <row r="13" spans="1:14" ht="9" customHeight="1" x14ac:dyDescent="0.2">
      <c r="A13" s="26" t="s">
        <v>34</v>
      </c>
      <c r="B13" s="33" t="s">
        <v>35</v>
      </c>
      <c r="C13" s="34" t="s">
        <v>9</v>
      </c>
      <c r="D13" s="34" t="s">
        <v>9</v>
      </c>
      <c r="E13" s="34" t="s">
        <v>9</v>
      </c>
      <c r="F13" s="34" t="s">
        <v>9</v>
      </c>
      <c r="G13" s="34" t="s">
        <v>9</v>
      </c>
      <c r="H13" s="34" t="s">
        <v>9</v>
      </c>
      <c r="I13" s="34" t="s">
        <v>9</v>
      </c>
      <c r="J13" s="130"/>
      <c r="K13" s="131"/>
      <c r="L13" s="10"/>
      <c r="M13" s="10"/>
      <c r="N13" s="10"/>
    </row>
    <row r="14" spans="1:14" ht="9" customHeight="1" x14ac:dyDescent="0.2">
      <c r="A14" s="26" t="s">
        <v>36</v>
      </c>
      <c r="B14" s="33" t="s">
        <v>37</v>
      </c>
      <c r="C14" s="34" t="s">
        <v>9</v>
      </c>
      <c r="D14" s="34" t="s">
        <v>9</v>
      </c>
      <c r="E14" s="34" t="s">
        <v>9</v>
      </c>
      <c r="F14" s="34" t="s">
        <v>9</v>
      </c>
      <c r="G14" s="34" t="s">
        <v>9</v>
      </c>
      <c r="H14" s="34" t="s">
        <v>9</v>
      </c>
      <c r="I14" s="34" t="s">
        <v>9</v>
      </c>
      <c r="J14" s="132"/>
      <c r="K14" s="131"/>
      <c r="L14" s="10"/>
      <c r="M14" s="10"/>
      <c r="N14" s="10"/>
    </row>
    <row r="15" spans="1:14" ht="9" customHeight="1" x14ac:dyDescent="0.2">
      <c r="A15" s="26" t="s">
        <v>38</v>
      </c>
      <c r="B15" s="33" t="s">
        <v>39</v>
      </c>
      <c r="C15" s="34" t="s">
        <v>9</v>
      </c>
      <c r="D15" s="34" t="s">
        <v>9</v>
      </c>
      <c r="E15" s="34" t="s">
        <v>9</v>
      </c>
      <c r="F15" s="34" t="s">
        <v>9</v>
      </c>
      <c r="G15" s="34" t="s">
        <v>9</v>
      </c>
      <c r="H15" s="34" t="s">
        <v>9</v>
      </c>
      <c r="I15" s="34" t="s">
        <v>9</v>
      </c>
      <c r="J15" s="32"/>
      <c r="K15" s="32"/>
      <c r="L15" s="10"/>
      <c r="M15" s="10"/>
      <c r="N15" s="10"/>
    </row>
    <row r="16" spans="1:14" ht="9" customHeight="1" x14ac:dyDescent="0.2">
      <c r="A16" s="26" t="s">
        <v>40</v>
      </c>
      <c r="B16" s="33" t="s">
        <v>41</v>
      </c>
      <c r="C16" s="34" t="s">
        <v>9</v>
      </c>
      <c r="D16" s="34" t="s">
        <v>9</v>
      </c>
      <c r="E16" s="34" t="s">
        <v>9</v>
      </c>
      <c r="F16" s="34" t="s">
        <v>9</v>
      </c>
      <c r="G16" s="34" t="s">
        <v>9</v>
      </c>
      <c r="H16" s="34" t="s">
        <v>9</v>
      </c>
      <c r="I16" s="34" t="s">
        <v>9</v>
      </c>
      <c r="J16" s="13"/>
      <c r="K16" s="13"/>
      <c r="L16" s="10"/>
      <c r="M16" s="10"/>
      <c r="N16" s="10"/>
    </row>
    <row r="17" spans="1:14" ht="6" customHeight="1" x14ac:dyDescent="0.2">
      <c r="A17" s="14"/>
      <c r="B17" s="35"/>
      <c r="C17" s="35"/>
      <c r="D17" s="35"/>
      <c r="E17" s="35"/>
      <c r="F17" s="35"/>
      <c r="G17" s="35"/>
      <c r="H17" s="35"/>
      <c r="I17" s="10"/>
      <c r="J17" s="13"/>
      <c r="K17" s="13"/>
      <c r="L17" s="10"/>
      <c r="M17" s="10"/>
      <c r="N17" s="10"/>
    </row>
    <row r="18" spans="1:14" ht="9.75" customHeight="1" x14ac:dyDescent="0.2">
      <c r="A18" s="14"/>
      <c r="B18" s="26"/>
      <c r="C18" s="26"/>
      <c r="D18" s="26"/>
      <c r="E18" s="26" t="s">
        <v>42</v>
      </c>
      <c r="F18" s="26" t="s">
        <v>42</v>
      </c>
      <c r="G18" s="26"/>
      <c r="H18" s="26"/>
      <c r="I18" s="26" t="s">
        <v>43</v>
      </c>
      <c r="J18" s="26" t="s">
        <v>44</v>
      </c>
      <c r="K18" s="26" t="s">
        <v>45</v>
      </c>
      <c r="L18" s="26" t="s">
        <v>46</v>
      </c>
      <c r="M18" s="26"/>
      <c r="N18" s="26"/>
    </row>
    <row r="19" spans="1:14" ht="9.75" customHeight="1" x14ac:dyDescent="0.2">
      <c r="A19" s="134" t="s">
        <v>47</v>
      </c>
      <c r="B19" s="134"/>
      <c r="C19" s="27" t="s">
        <v>14</v>
      </c>
      <c r="D19" s="27" t="s">
        <v>18</v>
      </c>
      <c r="E19" s="27" t="s">
        <v>48</v>
      </c>
      <c r="F19" s="27" t="s">
        <v>49</v>
      </c>
      <c r="G19" s="27" t="s">
        <v>15</v>
      </c>
      <c r="H19" s="27" t="s">
        <v>50</v>
      </c>
      <c r="I19" s="27" t="s">
        <v>51</v>
      </c>
      <c r="J19" s="27" t="s">
        <v>52</v>
      </c>
      <c r="K19" s="27" t="s">
        <v>53</v>
      </c>
      <c r="L19" s="27" t="s">
        <v>52</v>
      </c>
      <c r="M19" s="27" t="s">
        <v>4</v>
      </c>
      <c r="N19" s="10"/>
    </row>
    <row r="20" spans="1:14" ht="3" customHeight="1" x14ac:dyDescent="0.2">
      <c r="A20" s="14"/>
      <c r="B20" s="28"/>
      <c r="C20" s="26"/>
      <c r="D20" s="26"/>
      <c r="E20" s="26"/>
      <c r="F20" s="26"/>
      <c r="G20" s="26"/>
      <c r="H20" s="26"/>
      <c r="I20" s="26"/>
      <c r="J20" s="26"/>
      <c r="K20" s="10"/>
      <c r="L20" s="13"/>
      <c r="M20" s="13"/>
      <c r="N20" s="10"/>
    </row>
    <row r="21" spans="1:14" ht="9" customHeight="1" x14ac:dyDescent="0.2">
      <c r="A21" s="26" t="s">
        <v>54</v>
      </c>
      <c r="B21" s="36" t="s">
        <v>55</v>
      </c>
      <c r="C21" s="30" t="s">
        <v>31</v>
      </c>
      <c r="D21" s="30" t="s">
        <v>31</v>
      </c>
      <c r="E21" s="30" t="s">
        <v>9</v>
      </c>
      <c r="F21" s="30" t="s">
        <v>9</v>
      </c>
      <c r="G21" s="30" t="s">
        <v>9</v>
      </c>
      <c r="H21" s="30" t="s">
        <v>9</v>
      </c>
      <c r="I21" s="30" t="s">
        <v>9</v>
      </c>
      <c r="J21" s="30" t="s">
        <v>31</v>
      </c>
      <c r="K21" s="30" t="s">
        <v>9</v>
      </c>
      <c r="L21" s="30" t="s">
        <v>31</v>
      </c>
      <c r="M21" s="30" t="s">
        <v>9</v>
      </c>
      <c r="N21" s="10"/>
    </row>
    <row r="22" spans="1:14" ht="9" customHeight="1" x14ac:dyDescent="0.2">
      <c r="A22" s="26" t="s">
        <v>56</v>
      </c>
      <c r="B22" s="36" t="s">
        <v>57</v>
      </c>
      <c r="C22" s="30" t="s">
        <v>31</v>
      </c>
      <c r="D22" s="30" t="s">
        <v>31</v>
      </c>
      <c r="E22" s="30" t="s">
        <v>31</v>
      </c>
      <c r="F22" s="30" t="s">
        <v>31</v>
      </c>
      <c r="G22" s="30" t="s">
        <v>9</v>
      </c>
      <c r="H22" s="30" t="s">
        <v>9</v>
      </c>
      <c r="I22" s="30" t="s">
        <v>9</v>
      </c>
      <c r="J22" s="30" t="s">
        <v>31</v>
      </c>
      <c r="K22" s="30" t="s">
        <v>31</v>
      </c>
      <c r="L22" s="30" t="s">
        <v>31</v>
      </c>
      <c r="M22" s="30" t="s">
        <v>9</v>
      </c>
      <c r="N22" s="37"/>
    </row>
    <row r="23" spans="1:14" ht="9" customHeight="1" x14ac:dyDescent="0.2">
      <c r="A23" s="26" t="s">
        <v>58</v>
      </c>
      <c r="B23" s="36" t="s">
        <v>59</v>
      </c>
      <c r="C23" s="30" t="s">
        <v>31</v>
      </c>
      <c r="D23" s="30" t="s">
        <v>31</v>
      </c>
      <c r="E23" s="30" t="s">
        <v>31</v>
      </c>
      <c r="F23" s="30" t="s">
        <v>31</v>
      </c>
      <c r="G23" s="30" t="s">
        <v>31</v>
      </c>
      <c r="H23" s="30" t="s">
        <v>31</v>
      </c>
      <c r="I23" s="30" t="s">
        <v>31</v>
      </c>
      <c r="J23" s="30" t="s">
        <v>31</v>
      </c>
      <c r="K23" s="30" t="s">
        <v>31</v>
      </c>
      <c r="L23" s="30" t="s">
        <v>31</v>
      </c>
      <c r="M23" s="30" t="s">
        <v>9</v>
      </c>
      <c r="N23" s="37"/>
    </row>
    <row r="24" spans="1:14" ht="9" customHeight="1" x14ac:dyDescent="0.2">
      <c r="A24" s="26" t="s">
        <v>60</v>
      </c>
      <c r="B24" s="38" t="s">
        <v>61</v>
      </c>
      <c r="C24" s="34" t="s">
        <v>9</v>
      </c>
      <c r="D24" s="34" t="s">
        <v>9</v>
      </c>
      <c r="E24" s="34" t="s">
        <v>9</v>
      </c>
      <c r="F24" s="34" t="s">
        <v>9</v>
      </c>
      <c r="G24" s="34" t="s">
        <v>9</v>
      </c>
      <c r="H24" s="34" t="s">
        <v>9</v>
      </c>
      <c r="I24" s="34" t="s">
        <v>9</v>
      </c>
      <c r="J24" s="34" t="s">
        <v>9</v>
      </c>
      <c r="K24" s="34" t="s">
        <v>9</v>
      </c>
      <c r="L24" s="34" t="s">
        <v>9</v>
      </c>
      <c r="M24" s="34" t="s">
        <v>9</v>
      </c>
      <c r="N24" s="37"/>
    </row>
    <row r="25" spans="1:14" ht="9" customHeight="1" x14ac:dyDescent="0.2">
      <c r="A25" s="26" t="s">
        <v>62</v>
      </c>
      <c r="B25" s="38" t="s">
        <v>63</v>
      </c>
      <c r="C25" s="34" t="s">
        <v>9</v>
      </c>
      <c r="D25" s="34" t="s">
        <v>9</v>
      </c>
      <c r="E25" s="34" t="s">
        <v>9</v>
      </c>
      <c r="F25" s="34" t="s">
        <v>9</v>
      </c>
      <c r="G25" s="34" t="s">
        <v>9</v>
      </c>
      <c r="H25" s="34" t="s">
        <v>9</v>
      </c>
      <c r="I25" s="34" t="s">
        <v>9</v>
      </c>
      <c r="J25" s="34" t="s">
        <v>9</v>
      </c>
      <c r="K25" s="34" t="s">
        <v>9</v>
      </c>
      <c r="L25" s="34" t="s">
        <v>9</v>
      </c>
      <c r="M25" s="34" t="s">
        <v>9</v>
      </c>
      <c r="N25" s="10"/>
    </row>
    <row r="26" spans="1:14" ht="9" customHeight="1" x14ac:dyDescent="0.2">
      <c r="A26" s="26" t="s">
        <v>64</v>
      </c>
      <c r="B26" s="38" t="s">
        <v>65</v>
      </c>
      <c r="C26" s="34" t="s">
        <v>9</v>
      </c>
      <c r="D26" s="34" t="s">
        <v>9</v>
      </c>
      <c r="E26" s="34" t="s">
        <v>9</v>
      </c>
      <c r="F26" s="34" t="s">
        <v>9</v>
      </c>
      <c r="G26" s="34" t="s">
        <v>9</v>
      </c>
      <c r="H26" s="34" t="s">
        <v>9</v>
      </c>
      <c r="I26" s="34" t="s">
        <v>9</v>
      </c>
      <c r="J26" s="34" t="s">
        <v>9</v>
      </c>
      <c r="K26" s="34" t="s">
        <v>9</v>
      </c>
      <c r="L26" s="34" t="s">
        <v>9</v>
      </c>
      <c r="M26" s="34" t="s">
        <v>9</v>
      </c>
      <c r="N26" s="10"/>
    </row>
    <row r="27" spans="1:14" ht="6" customHeight="1" x14ac:dyDescent="0.2">
      <c r="A27" s="14"/>
      <c r="B27" s="18"/>
      <c r="C27" s="35"/>
      <c r="D27" s="35"/>
      <c r="E27" s="35"/>
      <c r="F27" s="35"/>
      <c r="G27" s="35"/>
      <c r="H27" s="35"/>
      <c r="I27" s="35"/>
      <c r="J27" s="35"/>
      <c r="K27" s="39"/>
      <c r="L27" s="10"/>
      <c r="M27" s="10"/>
      <c r="N27" s="10"/>
    </row>
    <row r="28" spans="1:14" ht="9.75" customHeight="1" x14ac:dyDescent="0.2">
      <c r="A28" s="134" t="s">
        <v>66</v>
      </c>
      <c r="B28" s="134"/>
      <c r="C28" s="135" t="s">
        <v>67</v>
      </c>
      <c r="D28" s="135"/>
      <c r="E28" s="135"/>
      <c r="F28" s="27" t="s">
        <v>26</v>
      </c>
      <c r="G28" s="27" t="s">
        <v>47</v>
      </c>
      <c r="H28" s="35"/>
      <c r="I28" s="35"/>
      <c r="J28" s="35"/>
      <c r="K28" s="133"/>
      <c r="L28" s="133"/>
      <c r="M28" s="10"/>
      <c r="N28" s="10"/>
    </row>
    <row r="29" spans="1:14" ht="3" customHeight="1" x14ac:dyDescent="0.2">
      <c r="A29" s="26">
        <v>0</v>
      </c>
      <c r="B29" s="5">
        <v>0</v>
      </c>
      <c r="C29" s="26">
        <v>0</v>
      </c>
      <c r="D29" s="26">
        <v>0</v>
      </c>
      <c r="E29" s="35">
        <v>0</v>
      </c>
      <c r="F29" s="35">
        <v>0</v>
      </c>
      <c r="G29" s="35">
        <v>0</v>
      </c>
      <c r="H29" s="35"/>
      <c r="I29" s="35"/>
      <c r="J29" s="35"/>
      <c r="K29" s="133"/>
      <c r="L29" s="133"/>
      <c r="M29" s="10"/>
      <c r="N29" s="10"/>
    </row>
    <row r="30" spans="1:14" ht="9.75" customHeight="1" x14ac:dyDescent="0.2">
      <c r="A30" s="26"/>
      <c r="B30" s="28">
        <v>1</v>
      </c>
      <c r="C30" s="125" t="s">
        <v>68</v>
      </c>
      <c r="D30" s="126"/>
      <c r="E30" s="127"/>
      <c r="F30" s="34" t="s">
        <v>30</v>
      </c>
      <c r="G30" s="34" t="s">
        <v>54</v>
      </c>
      <c r="H30" s="40"/>
      <c r="I30" s="35"/>
      <c r="J30" s="35"/>
      <c r="K30" s="39"/>
      <c r="L30" s="10"/>
      <c r="M30" s="10"/>
      <c r="N30" s="10"/>
    </row>
    <row r="31" spans="1:14" ht="9.75" customHeight="1" x14ac:dyDescent="0.2">
      <c r="A31" s="26"/>
      <c r="B31" s="28">
        <v>2</v>
      </c>
      <c r="C31" s="125" t="s">
        <v>69</v>
      </c>
      <c r="D31" s="126"/>
      <c r="E31" s="127"/>
      <c r="F31" s="34" t="s">
        <v>32</v>
      </c>
      <c r="G31" s="34" t="s">
        <v>56</v>
      </c>
      <c r="H31" s="128"/>
      <c r="I31" s="129"/>
      <c r="J31" s="129"/>
      <c r="K31" s="39"/>
      <c r="L31" s="10"/>
      <c r="M31" s="10"/>
      <c r="N31" s="10"/>
    </row>
    <row r="32" spans="1:14" ht="9.75" customHeight="1" x14ac:dyDescent="0.2">
      <c r="A32" s="26"/>
      <c r="B32" s="28">
        <v>3</v>
      </c>
      <c r="C32" s="125" t="s">
        <v>70</v>
      </c>
      <c r="D32" s="126"/>
      <c r="E32" s="127"/>
      <c r="F32" s="34" t="s">
        <v>30</v>
      </c>
      <c r="G32" s="34" t="s">
        <v>56</v>
      </c>
      <c r="H32" s="128"/>
      <c r="I32" s="129"/>
      <c r="J32" s="129"/>
      <c r="K32" s="39"/>
      <c r="L32" s="10"/>
      <c r="M32" s="10"/>
      <c r="N32" s="10"/>
    </row>
    <row r="33" spans="1:14" ht="9.75" customHeight="1" x14ac:dyDescent="0.2">
      <c r="A33" s="26"/>
      <c r="B33" s="28">
        <v>4</v>
      </c>
      <c r="C33" s="125" t="s">
        <v>71</v>
      </c>
      <c r="D33" s="126"/>
      <c r="E33" s="127"/>
      <c r="F33" s="34" t="s">
        <v>9</v>
      </c>
      <c r="G33" s="34" t="s">
        <v>9</v>
      </c>
      <c r="H33" s="41"/>
      <c r="I33" s="31"/>
      <c r="J33" s="35"/>
      <c r="K33" s="39"/>
      <c r="L33" s="10"/>
      <c r="M33" s="10"/>
      <c r="N33" s="10"/>
    </row>
    <row r="34" spans="1:14" ht="9.75" customHeight="1" x14ac:dyDescent="0.2">
      <c r="A34" s="26"/>
      <c r="B34" s="28">
        <v>5</v>
      </c>
      <c r="C34" s="125" t="s">
        <v>71</v>
      </c>
      <c r="D34" s="126"/>
      <c r="E34" s="127"/>
      <c r="F34" s="34" t="s">
        <v>9</v>
      </c>
      <c r="G34" s="34" t="s">
        <v>9</v>
      </c>
      <c r="H34" s="35"/>
      <c r="I34" s="35"/>
      <c r="J34" s="35"/>
      <c r="K34" s="39"/>
      <c r="L34" s="10"/>
      <c r="M34" s="10"/>
      <c r="N34" s="10"/>
    </row>
    <row r="35" spans="1:14" ht="9" customHeight="1" x14ac:dyDescent="0.2">
      <c r="A35" s="5"/>
      <c r="B35" s="3"/>
      <c r="C35" s="28"/>
      <c r="D35" s="28"/>
      <c r="E35" s="28"/>
      <c r="F35" s="28"/>
      <c r="G35" s="35"/>
      <c r="H35" s="35"/>
      <c r="I35" s="35"/>
      <c r="J35" s="35"/>
      <c r="K35" s="39"/>
      <c r="L35" s="10"/>
      <c r="M35" s="10"/>
      <c r="N35" s="10"/>
    </row>
    <row r="36" spans="1:14" ht="12" customHeight="1" x14ac:dyDescent="0.2">
      <c r="A36" s="8" t="s">
        <v>72</v>
      </c>
      <c r="B36" s="12"/>
      <c r="C36" s="12"/>
      <c r="D36" s="24"/>
      <c r="E36" s="7"/>
      <c r="F36" s="7" t="s">
        <v>10</v>
      </c>
      <c r="G36" s="7" t="s">
        <v>11</v>
      </c>
      <c r="H36" s="7" t="s">
        <v>12</v>
      </c>
      <c r="I36" s="7" t="s">
        <v>1</v>
      </c>
      <c r="J36" s="7" t="s">
        <v>2</v>
      </c>
      <c r="K36" s="13"/>
      <c r="L36" s="13"/>
      <c r="M36" s="13"/>
      <c r="N36" s="13"/>
    </row>
    <row r="37" spans="1:14" ht="3" customHeight="1" x14ac:dyDescent="0.2">
      <c r="A37" s="16"/>
      <c r="B37" s="10"/>
      <c r="C37" s="10"/>
      <c r="D37" s="18"/>
      <c r="E37" s="10"/>
      <c r="F37" s="10"/>
      <c r="G37" s="10"/>
      <c r="H37" s="10"/>
      <c r="I37" s="10"/>
      <c r="J37" s="10"/>
      <c r="K37" s="13"/>
      <c r="L37" s="13"/>
      <c r="M37" s="13"/>
      <c r="N37" s="13"/>
    </row>
    <row r="38" spans="1:14" ht="12" customHeight="1" x14ac:dyDescent="0.2">
      <c r="A38" s="10"/>
      <c r="B38" s="10"/>
      <c r="C38" s="10"/>
      <c r="D38" s="42" t="s">
        <v>73</v>
      </c>
      <c r="E38" s="42"/>
      <c r="F38" s="43">
        <v>6.9603428571428578</v>
      </c>
      <c r="G38" s="43">
        <v>12.135737601937372</v>
      </c>
      <c r="H38" s="43">
        <v>25.106333253018434</v>
      </c>
      <c r="I38" s="43" t="s">
        <v>3</v>
      </c>
      <c r="J38" s="43" t="s">
        <v>3</v>
      </c>
      <c r="K38" s="22" t="s">
        <v>9</v>
      </c>
      <c r="L38" s="13"/>
      <c r="M38" s="13"/>
      <c r="N38" s="13"/>
    </row>
    <row r="39" spans="1:14" ht="12" customHeight="1" x14ac:dyDescent="0.2">
      <c r="A39" s="10"/>
      <c r="B39" s="10"/>
      <c r="C39" s="10"/>
      <c r="D39" s="42" t="s">
        <v>74</v>
      </c>
      <c r="E39" s="42"/>
      <c r="F39" s="43" t="s">
        <v>75</v>
      </c>
      <c r="G39" s="43" t="s">
        <v>75</v>
      </c>
      <c r="H39" s="43" t="s">
        <v>75</v>
      </c>
      <c r="I39" s="43" t="s">
        <v>75</v>
      </c>
      <c r="J39" s="43" t="s">
        <v>75</v>
      </c>
      <c r="K39" s="22" t="s">
        <v>76</v>
      </c>
      <c r="L39" s="13"/>
      <c r="M39" s="13"/>
      <c r="N39" s="13"/>
    </row>
    <row r="40" spans="1:14" ht="12" customHeight="1" x14ac:dyDescent="0.2">
      <c r="A40" s="10"/>
      <c r="B40" s="10"/>
      <c r="C40" s="10"/>
      <c r="D40" s="42" t="s">
        <v>77</v>
      </c>
      <c r="E40" s="42"/>
      <c r="F40" s="43">
        <v>6.9603428571428578</v>
      </c>
      <c r="G40" s="43">
        <v>12.135737601937372</v>
      </c>
      <c r="H40" s="43">
        <v>25.106333253018434</v>
      </c>
      <c r="I40" s="43" t="s">
        <v>3</v>
      </c>
      <c r="J40" s="43" t="s">
        <v>3</v>
      </c>
      <c r="K40" s="22" t="s">
        <v>9</v>
      </c>
      <c r="L40" s="13"/>
      <c r="M40" s="13"/>
      <c r="N40" s="13"/>
    </row>
    <row r="41" spans="1:14" ht="12" customHeight="1" x14ac:dyDescent="0.2">
      <c r="A41" s="10"/>
      <c r="B41" s="10"/>
      <c r="C41" s="10"/>
      <c r="D41" s="42" t="s">
        <v>71</v>
      </c>
      <c r="E41" s="42"/>
      <c r="F41" s="43" t="s">
        <v>3</v>
      </c>
      <c r="G41" s="43" t="s">
        <v>3</v>
      </c>
      <c r="H41" s="43" t="s">
        <v>3</v>
      </c>
      <c r="I41" s="43" t="s">
        <v>3</v>
      </c>
      <c r="J41" s="43" t="s">
        <v>3</v>
      </c>
      <c r="K41" s="22" t="s">
        <v>9</v>
      </c>
      <c r="L41" s="13"/>
      <c r="M41" s="13"/>
      <c r="N41" s="13"/>
    </row>
    <row r="42" spans="1:14" ht="12" customHeight="1" x14ac:dyDescent="0.2">
      <c r="A42" s="10"/>
      <c r="B42" s="10"/>
      <c r="C42" s="10"/>
      <c r="D42" s="42" t="s">
        <v>71</v>
      </c>
      <c r="E42" s="42"/>
      <c r="F42" s="43" t="s">
        <v>3</v>
      </c>
      <c r="G42" s="43" t="s">
        <v>3</v>
      </c>
      <c r="H42" s="43" t="s">
        <v>3</v>
      </c>
      <c r="I42" s="43" t="s">
        <v>3</v>
      </c>
      <c r="J42" s="43" t="s">
        <v>3</v>
      </c>
      <c r="K42" s="22" t="s">
        <v>9</v>
      </c>
      <c r="L42" s="13"/>
      <c r="M42" s="13"/>
      <c r="N42" s="13"/>
    </row>
    <row r="43" spans="1:14" ht="3" customHeight="1" x14ac:dyDescent="0.2">
      <c r="A43" s="16"/>
      <c r="B43" s="10"/>
      <c r="C43" s="10"/>
      <c r="D43" s="18"/>
      <c r="E43" s="15"/>
      <c r="F43" s="21"/>
      <c r="G43" s="21"/>
      <c r="H43" s="21"/>
      <c r="I43" s="21"/>
      <c r="J43" s="21"/>
      <c r="K43" s="13"/>
      <c r="L43" s="13"/>
      <c r="M43" s="13"/>
      <c r="N43" s="13"/>
    </row>
    <row r="44" spans="1:14" ht="12" customHeight="1" x14ac:dyDescent="0.2">
      <c r="A44" s="8" t="s">
        <v>78</v>
      </c>
      <c r="B44" s="12"/>
      <c r="C44" s="12"/>
      <c r="D44" s="24"/>
      <c r="E44" s="11" t="s">
        <v>79</v>
      </c>
      <c r="F44" s="7" t="s">
        <v>10</v>
      </c>
      <c r="G44" s="7" t="s">
        <v>11</v>
      </c>
      <c r="H44" s="7" t="s">
        <v>12</v>
      </c>
      <c r="I44" s="7" t="s">
        <v>1</v>
      </c>
      <c r="J44" s="7" t="s">
        <v>2</v>
      </c>
      <c r="K44" s="10"/>
      <c r="L44" s="13"/>
      <c r="M44" s="13"/>
      <c r="N44" s="13"/>
    </row>
    <row r="45" spans="1:14" ht="3" customHeight="1" x14ac:dyDescent="0.2">
      <c r="A45" s="16"/>
      <c r="B45" s="10"/>
      <c r="C45" s="10"/>
      <c r="D45" s="18"/>
      <c r="E45" s="15"/>
      <c r="F45" s="21"/>
      <c r="G45" s="21"/>
      <c r="H45" s="21"/>
      <c r="I45" s="21"/>
      <c r="J45" s="21"/>
      <c r="K45" s="13"/>
      <c r="L45" s="13"/>
      <c r="M45" s="13"/>
      <c r="N45" s="13"/>
    </row>
    <row r="46" spans="1:14" ht="12" customHeight="1" x14ac:dyDescent="0.2">
      <c r="A46" s="16"/>
      <c r="B46" s="10"/>
      <c r="C46" s="10"/>
      <c r="D46" s="5" t="s">
        <v>80</v>
      </c>
      <c r="E46" s="119" t="s">
        <v>81</v>
      </c>
      <c r="F46" s="43">
        <v>1.6062329670329671</v>
      </c>
      <c r="G46" s="43">
        <v>1.9017534235002629</v>
      </c>
      <c r="H46" s="43">
        <v>2.2201833789681586</v>
      </c>
      <c r="I46" s="43" t="s">
        <v>3</v>
      </c>
      <c r="J46" s="43" t="s">
        <v>3</v>
      </c>
      <c r="K46" s="10"/>
      <c r="L46" s="10"/>
      <c r="M46" s="10"/>
      <c r="N46" s="10"/>
    </row>
    <row r="47" spans="1:14" ht="12" customHeight="1" x14ac:dyDescent="0.2">
      <c r="A47" s="19"/>
      <c r="B47" s="10"/>
      <c r="C47" s="10"/>
      <c r="D47" s="5" t="s">
        <v>82</v>
      </c>
      <c r="E47" s="119" t="s">
        <v>83</v>
      </c>
      <c r="F47" s="43">
        <v>1.4897059804543076</v>
      </c>
      <c r="G47" s="43">
        <v>1.6734745036179561</v>
      </c>
      <c r="H47" s="43">
        <v>1.8502168877109129</v>
      </c>
      <c r="I47" s="43" t="s">
        <v>3</v>
      </c>
      <c r="J47" s="43" t="s">
        <v>3</v>
      </c>
      <c r="K47" s="10"/>
      <c r="L47" s="10"/>
      <c r="M47" s="10"/>
      <c r="N47" s="10"/>
    </row>
    <row r="48" spans="1:14" ht="12" customHeight="1" x14ac:dyDescent="0.2">
      <c r="A48" s="16"/>
      <c r="B48" s="10"/>
      <c r="C48" s="10"/>
      <c r="D48" s="5" t="s">
        <v>84</v>
      </c>
      <c r="E48" s="119" t="s">
        <v>81</v>
      </c>
      <c r="F48" s="43">
        <v>1.6062012191598571</v>
      </c>
      <c r="G48" s="43">
        <v>1.9017122155135602</v>
      </c>
      <c r="H48" s="43">
        <v>2.2201313762361843</v>
      </c>
      <c r="I48" s="43" t="s">
        <v>3</v>
      </c>
      <c r="J48" s="43" t="s">
        <v>3</v>
      </c>
      <c r="K48" s="10"/>
      <c r="L48" s="10"/>
      <c r="M48" s="10"/>
      <c r="N48" s="10"/>
    </row>
    <row r="49" spans="1:14" ht="12" customHeight="1" x14ac:dyDescent="0.2">
      <c r="A49" s="16"/>
      <c r="B49" s="10"/>
      <c r="C49" s="10"/>
      <c r="D49" s="5" t="s">
        <v>71</v>
      </c>
      <c r="E49" s="119" t="s">
        <v>81</v>
      </c>
      <c r="F49" s="43" t="s">
        <v>3</v>
      </c>
      <c r="G49" s="43" t="s">
        <v>3</v>
      </c>
      <c r="H49" s="43" t="s">
        <v>3</v>
      </c>
      <c r="I49" s="43" t="s">
        <v>3</v>
      </c>
      <c r="J49" s="43" t="s">
        <v>3</v>
      </c>
      <c r="K49" s="10"/>
      <c r="L49" s="10"/>
      <c r="M49" s="10"/>
      <c r="N49" s="10"/>
    </row>
    <row r="50" spans="1:14" ht="12" customHeight="1" x14ac:dyDescent="0.2">
      <c r="A50" s="10"/>
      <c r="B50" s="17"/>
      <c r="C50" s="44"/>
      <c r="D50" s="5" t="s">
        <v>71</v>
      </c>
      <c r="E50" s="119" t="s">
        <v>81</v>
      </c>
      <c r="F50" s="43" t="s">
        <v>3</v>
      </c>
      <c r="G50" s="43" t="s">
        <v>3</v>
      </c>
      <c r="H50" s="43" t="s">
        <v>3</v>
      </c>
      <c r="I50" s="43" t="s">
        <v>3</v>
      </c>
      <c r="J50" s="43" t="s">
        <v>3</v>
      </c>
      <c r="K50" s="10"/>
      <c r="L50" s="10"/>
      <c r="M50" s="10"/>
      <c r="N50" s="10"/>
    </row>
    <row r="51" spans="1:14" ht="3" customHeight="1" x14ac:dyDescent="0.2">
      <c r="A51" s="20"/>
      <c r="B51" s="10"/>
      <c r="C51" s="10"/>
      <c r="D51" s="18"/>
      <c r="E51" s="15"/>
      <c r="F51" s="21"/>
      <c r="G51" s="21"/>
      <c r="H51" s="21"/>
      <c r="I51" s="21"/>
      <c r="J51" s="21"/>
      <c r="K51" s="6"/>
      <c r="L51" s="10"/>
      <c r="M51" s="2"/>
      <c r="N51" s="2"/>
    </row>
    <row r="52" spans="1:14" ht="12" customHeight="1" x14ac:dyDescent="0.2">
      <c r="A52" s="8" t="s">
        <v>85</v>
      </c>
      <c r="B52" s="12"/>
      <c r="C52" s="12"/>
      <c r="D52" s="24"/>
      <c r="E52" s="7" t="s">
        <v>16</v>
      </c>
      <c r="F52" s="7" t="s">
        <v>10</v>
      </c>
      <c r="G52" s="7" t="s">
        <v>11</v>
      </c>
      <c r="H52" s="7" t="s">
        <v>12</v>
      </c>
      <c r="I52" s="7" t="s">
        <v>1</v>
      </c>
      <c r="J52" s="7" t="s">
        <v>2</v>
      </c>
      <c r="K52" s="45"/>
      <c r="L52" s="46" t="s">
        <v>86</v>
      </c>
      <c r="M52" s="47"/>
      <c r="N52" s="48"/>
    </row>
    <row r="53" spans="1:14" ht="12" customHeight="1" x14ac:dyDescent="0.2">
      <c r="A53" s="10"/>
      <c r="B53" s="10"/>
      <c r="C53" s="124" t="s">
        <v>87</v>
      </c>
      <c r="D53" s="124"/>
      <c r="E53" s="49">
        <v>3.550488599348534</v>
      </c>
      <c r="F53" s="49">
        <v>2.5441353001102378</v>
      </c>
      <c r="G53" s="49">
        <v>2.5499293114013706</v>
      </c>
      <c r="H53" s="49">
        <v>2.5549051969632757</v>
      </c>
      <c r="I53" s="49">
        <v>2.5696186447236853</v>
      </c>
      <c r="J53" s="49">
        <v>2.584053676231977</v>
      </c>
      <c r="K53" s="9"/>
      <c r="L53" s="2"/>
      <c r="M53" s="2"/>
      <c r="N53" s="4"/>
    </row>
    <row r="54" spans="1:14" ht="12" customHeight="1" x14ac:dyDescent="0.2">
      <c r="A54" s="19"/>
      <c r="B54" s="10"/>
      <c r="C54" s="10"/>
      <c r="D54" s="5" t="s">
        <v>89</v>
      </c>
      <c r="E54" s="49">
        <v>1.7972312703583062</v>
      </c>
      <c r="F54" s="49">
        <v>1.8228933902311319</v>
      </c>
      <c r="G54" s="49">
        <v>1.8408814026352516</v>
      </c>
      <c r="H54" s="49">
        <v>1.8579077410655291</v>
      </c>
      <c r="I54" s="49">
        <v>1.8682166054940166</v>
      </c>
      <c r="J54" s="49">
        <v>1.8781582220793303</v>
      </c>
      <c r="K54" s="9" t="s">
        <v>88</v>
      </c>
      <c r="L54" s="2"/>
      <c r="M54" s="2"/>
      <c r="N54" s="4"/>
    </row>
    <row r="55" spans="1:14" ht="12" customHeight="1" x14ac:dyDescent="0.2">
      <c r="A55" s="19"/>
      <c r="B55" s="10"/>
      <c r="C55" s="10"/>
      <c r="D55" s="5" t="s">
        <v>91</v>
      </c>
      <c r="E55" s="49">
        <v>0.51183722380053132</v>
      </c>
      <c r="F55" s="49">
        <v>0.30132685975567275</v>
      </c>
      <c r="G55" s="49">
        <v>0.14760480404850732</v>
      </c>
      <c r="H55" s="49">
        <v>0</v>
      </c>
      <c r="I55" s="49">
        <v>0</v>
      </c>
      <c r="J55" s="49">
        <v>0</v>
      </c>
      <c r="K55" s="9" t="s">
        <v>90</v>
      </c>
      <c r="L55" s="2"/>
      <c r="M55" s="2"/>
      <c r="N55" s="4"/>
    </row>
    <row r="56" spans="1:14" ht="12" customHeight="1" x14ac:dyDescent="0.2">
      <c r="A56" s="10"/>
      <c r="B56" s="10"/>
      <c r="C56" s="10"/>
      <c r="D56" s="5" t="s">
        <v>93</v>
      </c>
      <c r="E56" s="49">
        <v>2.9420005603810591</v>
      </c>
      <c r="F56" s="49">
        <v>1.4832225770213132</v>
      </c>
      <c r="G56" s="49">
        <v>0.71695057253475825</v>
      </c>
      <c r="H56" s="49">
        <v>0</v>
      </c>
      <c r="I56" s="49">
        <v>0</v>
      </c>
      <c r="J56" s="49">
        <v>0</v>
      </c>
      <c r="K56" s="9" t="s">
        <v>92</v>
      </c>
      <c r="L56" s="2"/>
      <c r="M56" s="2"/>
      <c r="N56" s="4"/>
    </row>
    <row r="57" spans="1:14" ht="12" customHeight="1" x14ac:dyDescent="0.2">
      <c r="A57" s="15"/>
      <c r="B57" s="15"/>
      <c r="C57" s="15"/>
      <c r="D57" s="5" t="s">
        <v>95</v>
      </c>
      <c r="E57" s="49">
        <v>2.9420005603810591</v>
      </c>
      <c r="F57" s="49">
        <v>1.4832225770213132</v>
      </c>
      <c r="G57" s="49">
        <v>0.71695057253475825</v>
      </c>
      <c r="H57" s="49">
        <v>0</v>
      </c>
      <c r="I57" s="49">
        <v>0</v>
      </c>
      <c r="J57" s="49">
        <v>0</v>
      </c>
      <c r="K57" s="9" t="s">
        <v>94</v>
      </c>
      <c r="L57" s="2"/>
      <c r="M57" s="2"/>
      <c r="N57" s="4"/>
    </row>
    <row r="58" spans="1:14" ht="12" customHeight="1" x14ac:dyDescent="0.2">
      <c r="A58" s="15"/>
      <c r="B58" s="15"/>
      <c r="C58" s="15"/>
      <c r="D58" s="5" t="s">
        <v>97</v>
      </c>
      <c r="E58" s="49">
        <v>2.9420761567242675</v>
      </c>
      <c r="F58" s="49">
        <v>1.4832717998016014</v>
      </c>
      <c r="G58" s="49">
        <v>0.71698475502106951</v>
      </c>
      <c r="H58" s="49">
        <v>0</v>
      </c>
      <c r="I58" s="49">
        <v>0</v>
      </c>
      <c r="J58" s="49">
        <v>0</v>
      </c>
      <c r="K58" s="9" t="s">
        <v>96</v>
      </c>
      <c r="L58" s="2"/>
      <c r="M58" s="2"/>
      <c r="N58" s="50"/>
    </row>
    <row r="59" spans="1:14" ht="12" customHeight="1" x14ac:dyDescent="0.2">
      <c r="A59" s="15"/>
      <c r="B59" s="15"/>
      <c r="C59" s="15"/>
      <c r="D59" s="5" t="s">
        <v>99</v>
      </c>
      <c r="E59" s="49">
        <v>2.9420761567242675</v>
      </c>
      <c r="F59" s="49">
        <v>1.4832717998016014</v>
      </c>
      <c r="G59" s="49">
        <v>0.71698475502106951</v>
      </c>
      <c r="H59" s="49">
        <v>0</v>
      </c>
      <c r="I59" s="49">
        <v>0</v>
      </c>
      <c r="J59" s="49">
        <v>0</v>
      </c>
      <c r="K59" s="51"/>
      <c r="L59" s="52" t="s">
        <v>98</v>
      </c>
      <c r="M59" s="53"/>
      <c r="N59" s="54"/>
    </row>
    <row r="63" spans="1:14" ht="12" customHeight="1" x14ac:dyDescent="0.2">
      <c r="A63" s="1" t="s">
        <v>111</v>
      </c>
    </row>
    <row r="64" spans="1:14" ht="12" customHeight="1" x14ac:dyDescent="0.2">
      <c r="A64" s="1" t="s">
        <v>110</v>
      </c>
    </row>
    <row r="65" spans="1:1" ht="12" customHeight="1" x14ac:dyDescent="0.2">
      <c r="A65" s="1" t="s">
        <v>109</v>
      </c>
    </row>
    <row r="66" spans="1:1" ht="12" customHeight="1" x14ac:dyDescent="0.2">
      <c r="A66" s="1" t="s">
        <v>108</v>
      </c>
    </row>
    <row r="67" spans="1:1" ht="12" customHeight="1" x14ac:dyDescent="0.2">
      <c r="A67" s="1" t="s">
        <v>107</v>
      </c>
    </row>
    <row r="68" spans="1:1" ht="12" customHeight="1" x14ac:dyDescent="0.2">
      <c r="A68" s="1" t="s">
        <v>106</v>
      </c>
    </row>
    <row r="69" spans="1:1" ht="12" customHeight="1" x14ac:dyDescent="0.2">
      <c r="A69" s="1" t="s">
        <v>105</v>
      </c>
    </row>
    <row r="70" spans="1:1" ht="12" customHeight="1" x14ac:dyDescent="0.2">
      <c r="A70" s="1" t="s">
        <v>104</v>
      </c>
    </row>
    <row r="71" spans="1:1" ht="12" customHeight="1" x14ac:dyDescent="0.2">
      <c r="A71" s="1" t="s">
        <v>103</v>
      </c>
    </row>
    <row r="72" spans="1:1" ht="12" customHeight="1" x14ac:dyDescent="0.2">
      <c r="A72" s="1" t="s">
        <v>102</v>
      </c>
    </row>
    <row r="73" spans="1:1" ht="12" customHeight="1" x14ac:dyDescent="0.2">
      <c r="A73" s="1" t="s">
        <v>101</v>
      </c>
    </row>
    <row r="74" spans="1:1" ht="12" customHeight="1" x14ac:dyDescent="0.2">
      <c r="A74" s="1" t="s">
        <v>100</v>
      </c>
    </row>
  </sheetData>
  <mergeCells count="14">
    <mergeCell ref="L5:M5"/>
    <mergeCell ref="J13:K14"/>
    <mergeCell ref="K28:L29"/>
    <mergeCell ref="A9:B9"/>
    <mergeCell ref="A19:B19"/>
    <mergeCell ref="A28:B28"/>
    <mergeCell ref="C28:E28"/>
    <mergeCell ref="C53:D53"/>
    <mergeCell ref="C33:E33"/>
    <mergeCell ref="C34:E34"/>
    <mergeCell ref="H31:J32"/>
    <mergeCell ref="C30:E30"/>
    <mergeCell ref="C31:E31"/>
    <mergeCell ref="C32:E32"/>
  </mergeCells>
  <phoneticPr fontId="0" type="noConversion"/>
  <pageMargins left="0.75" right="0.75" top="1" bottom="1" header="0.5" footer="0.5"/>
  <pageSetup scale="8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25-Yr Val 12</vt:lpstr>
      <vt:lpstr>FinRatios 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bvxuser</dc:creator>
  <cp:lastModifiedBy>Prasanna Kumar Pattam</cp:lastModifiedBy>
  <dcterms:created xsi:type="dcterms:W3CDTF">2020-06-02T17:14:53Z</dcterms:created>
  <dcterms:modified xsi:type="dcterms:W3CDTF">2020-08-10T08:10:42Z</dcterms:modified>
</cp:coreProperties>
</file>